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9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0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1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2.xml" ContentType="application/vnd.openxmlformats-officedocument.drawingml.chartshape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3.xml" ContentType="application/vnd.openxmlformats-officedocument.drawingml.chartshape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4.xml" ContentType="application/vnd.openxmlformats-officedocument.drawingml.chartshape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5.xml" ContentType="application/vnd.openxmlformats-officedocument.drawingml.chartshape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6.xml" ContentType="application/vnd.openxmlformats-officedocument.drawingml.chartshapes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ml.chartshape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8.xml" ContentType="application/vnd.openxmlformats-officedocument.drawingml.chartshapes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9.xml" ContentType="application/vnd.openxmlformats-officedocument.drawingml.chartshapes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0.xml" ContentType="application/vnd.openxmlformats-officedocument.drawingml.chartshapes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1.xml" ContentType="application/vnd.openxmlformats-officedocument.drawingml.chartshapes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2.xml" ContentType="application/vnd.openxmlformats-officedocument.drawingml.chartshapes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3.xml" ContentType="application/vnd.openxmlformats-officedocument.drawingml.chartshapes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6.xml" ContentType="application/vnd.openxmlformats-officedocument.drawingml.chartshapes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7.xml" ContentType="application/vnd.openxmlformats-officedocument.drawingml.chartshapes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8.xml" ContentType="application/vnd.openxmlformats-officedocument.drawingml.chartshapes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29.xml" ContentType="application/vnd.openxmlformats-officedocument.drawingml.chartshapes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30.xml" ContentType="application/vnd.openxmlformats-officedocument.drawingml.chartshapes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31.xml" ContentType="application/vnd.openxmlformats-officedocument.drawingml.chartshapes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32.xml" ContentType="application/vnd.openxmlformats-officedocument.drawingml.chartshapes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33.xml" ContentType="application/vnd.openxmlformats-officedocument.drawingml.chartshapes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34.xml" ContentType="application/vnd.openxmlformats-officedocument.drawingml.chartshapes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35.xml" ContentType="application/vnd.openxmlformats-officedocument.drawingml.chartshapes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36.xml" ContentType="application/vnd.openxmlformats-officedocument.drawingml.chartshapes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37.xml" ContentType="application/vnd.openxmlformats-officedocument.drawingml.chartshapes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3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clara\Downloads\"/>
    </mc:Choice>
  </mc:AlternateContent>
  <xr:revisionPtr revIDLastSave="0" documentId="8_{06D9DEDD-7354-4385-BE2A-C1BB9A4B538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eps 1.2-1.4" sheetId="2" r:id="rId1"/>
    <sheet name="Step 1.8" sheetId="3" r:id="rId2"/>
    <sheet name="Steps 2.2-2.4" sheetId="4" r:id="rId3"/>
    <sheet name="Step 2.8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5" l="1"/>
  <c r="E83" i="5"/>
  <c r="E82" i="5"/>
  <c r="E80" i="5"/>
  <c r="E78" i="5"/>
  <c r="E73" i="3"/>
  <c r="E42" i="5"/>
  <c r="F42" i="5"/>
  <c r="I42" i="5"/>
  <c r="J42" i="5"/>
  <c r="E43" i="5"/>
  <c r="F43" i="5"/>
  <c r="I43" i="5"/>
  <c r="J43" i="5"/>
  <c r="E44" i="5"/>
  <c r="F44" i="5"/>
  <c r="I44" i="5"/>
  <c r="J44" i="5"/>
  <c r="K44" i="5"/>
  <c r="E45" i="5"/>
  <c r="F45" i="5"/>
  <c r="I45" i="5"/>
  <c r="K45" i="5" s="1"/>
  <c r="J45" i="5"/>
  <c r="E46" i="5"/>
  <c r="F46" i="5"/>
  <c r="I46" i="5"/>
  <c r="J46" i="5"/>
  <c r="E47" i="5"/>
  <c r="F47" i="5"/>
  <c r="I47" i="5"/>
  <c r="K47" i="5" s="1"/>
  <c r="J47" i="5"/>
  <c r="E48" i="5"/>
  <c r="F48" i="5"/>
  <c r="I48" i="5"/>
  <c r="J48" i="5"/>
  <c r="E49" i="5"/>
  <c r="F49" i="5"/>
  <c r="I49" i="5"/>
  <c r="K49" i="5" s="1"/>
  <c r="J49" i="5"/>
  <c r="E50" i="5"/>
  <c r="F50" i="5"/>
  <c r="I50" i="5"/>
  <c r="J50" i="5"/>
  <c r="K50" i="5" s="1"/>
  <c r="E51" i="5"/>
  <c r="F51" i="5"/>
  <c r="I51" i="5"/>
  <c r="K51" i="5" s="1"/>
  <c r="J51" i="5"/>
  <c r="E22" i="5"/>
  <c r="F22" i="5"/>
  <c r="I22" i="5"/>
  <c r="J22" i="5"/>
  <c r="K22" i="5"/>
  <c r="E23" i="5"/>
  <c r="F23" i="5"/>
  <c r="I23" i="5"/>
  <c r="K23" i="5" s="1"/>
  <c r="J23" i="5"/>
  <c r="E24" i="5"/>
  <c r="F24" i="5"/>
  <c r="I24" i="5"/>
  <c r="K24" i="5" s="1"/>
  <c r="J24" i="5"/>
  <c r="E25" i="5"/>
  <c r="F25" i="5"/>
  <c r="I25" i="5"/>
  <c r="K25" i="5" s="1"/>
  <c r="J25" i="5"/>
  <c r="E26" i="5"/>
  <c r="F26" i="5"/>
  <c r="I26" i="5"/>
  <c r="K26" i="5" s="1"/>
  <c r="J26" i="5"/>
  <c r="E27" i="5"/>
  <c r="F27" i="5"/>
  <c r="I27" i="5"/>
  <c r="K27" i="5" s="1"/>
  <c r="J27" i="5"/>
  <c r="E28" i="5"/>
  <c r="F28" i="5"/>
  <c r="I28" i="5"/>
  <c r="K28" i="5" s="1"/>
  <c r="J28" i="5"/>
  <c r="E29" i="5"/>
  <c r="F29" i="5"/>
  <c r="I29" i="5"/>
  <c r="K29" i="5" s="1"/>
  <c r="J29" i="5"/>
  <c r="E30" i="5"/>
  <c r="F30" i="5"/>
  <c r="I30" i="5"/>
  <c r="K30" i="5" s="1"/>
  <c r="J30" i="5"/>
  <c r="E31" i="5"/>
  <c r="F31" i="5"/>
  <c r="I31" i="5"/>
  <c r="K31" i="5" s="1"/>
  <c r="J31" i="5"/>
  <c r="F22" i="3"/>
  <c r="I22" i="3"/>
  <c r="K22" i="3" s="1"/>
  <c r="J22" i="3"/>
  <c r="F23" i="3"/>
  <c r="I23" i="3"/>
  <c r="K23" i="3" s="1"/>
  <c r="J23" i="3"/>
  <c r="F24" i="3"/>
  <c r="I24" i="3"/>
  <c r="K24" i="3" s="1"/>
  <c r="J24" i="3"/>
  <c r="E25" i="3"/>
  <c r="F25" i="3"/>
  <c r="I25" i="3"/>
  <c r="K25" i="3" s="1"/>
  <c r="J25" i="3"/>
  <c r="E26" i="3"/>
  <c r="F26" i="3"/>
  <c r="I26" i="3"/>
  <c r="K26" i="3" s="1"/>
  <c r="J26" i="3"/>
  <c r="E27" i="3"/>
  <c r="F27" i="3"/>
  <c r="I27" i="3"/>
  <c r="K27" i="3" s="1"/>
  <c r="J27" i="3"/>
  <c r="E28" i="3"/>
  <c r="F28" i="3"/>
  <c r="I28" i="3"/>
  <c r="K28" i="3" s="1"/>
  <c r="J28" i="3"/>
  <c r="E29" i="3"/>
  <c r="F29" i="3"/>
  <c r="I29" i="3"/>
  <c r="K29" i="3" s="1"/>
  <c r="J29" i="3"/>
  <c r="E30" i="3"/>
  <c r="F30" i="3"/>
  <c r="I30" i="3"/>
  <c r="J30" i="3"/>
  <c r="K30" i="3"/>
  <c r="E31" i="3"/>
  <c r="F31" i="3"/>
  <c r="I31" i="3"/>
  <c r="K31" i="3" s="1"/>
  <c r="J31" i="3"/>
  <c r="I12" i="3"/>
  <c r="I13" i="3"/>
  <c r="I14" i="3"/>
  <c r="I15" i="3"/>
  <c r="I21" i="3"/>
  <c r="I2" i="5"/>
  <c r="I3" i="5"/>
  <c r="I11" i="5"/>
  <c r="F2" i="5"/>
  <c r="K48" i="5" l="1"/>
  <c r="K42" i="5"/>
  <c r="K43" i="5"/>
  <c r="K46" i="5"/>
  <c r="J91" i="4"/>
  <c r="O91" i="4" s="1"/>
  <c r="I91" i="4"/>
  <c r="N91" i="4" s="1"/>
  <c r="F91" i="4"/>
  <c r="E91" i="4"/>
  <c r="J90" i="4"/>
  <c r="O90" i="4" s="1"/>
  <c r="I90" i="4"/>
  <c r="N90" i="4" s="1"/>
  <c r="F90" i="4"/>
  <c r="E90" i="4"/>
  <c r="J89" i="4"/>
  <c r="O89" i="4" s="1"/>
  <c r="I89" i="4"/>
  <c r="N89" i="4" s="1"/>
  <c r="F89" i="4"/>
  <c r="E89" i="4"/>
  <c r="J88" i="4"/>
  <c r="O88" i="4" s="1"/>
  <c r="I88" i="4"/>
  <c r="N88" i="4" s="1"/>
  <c r="F88" i="4"/>
  <c r="E88" i="4"/>
  <c r="J87" i="4"/>
  <c r="O87" i="4" s="1"/>
  <c r="I87" i="4"/>
  <c r="N87" i="4" s="1"/>
  <c r="F87" i="4"/>
  <c r="E87" i="4"/>
  <c r="J86" i="4"/>
  <c r="O86" i="4" s="1"/>
  <c r="I86" i="4"/>
  <c r="N86" i="4" s="1"/>
  <c r="F86" i="4"/>
  <c r="E86" i="4"/>
  <c r="J85" i="4"/>
  <c r="O85" i="4" s="1"/>
  <c r="I85" i="4"/>
  <c r="N85" i="4" s="1"/>
  <c r="F85" i="4"/>
  <c r="E85" i="4"/>
  <c r="J84" i="4"/>
  <c r="O84" i="4" s="1"/>
  <c r="I84" i="4"/>
  <c r="N84" i="4" s="1"/>
  <c r="F84" i="4"/>
  <c r="E84" i="4"/>
  <c r="J83" i="4"/>
  <c r="O83" i="4" s="1"/>
  <c r="I83" i="4"/>
  <c r="N83" i="4" s="1"/>
  <c r="F83" i="4"/>
  <c r="E83" i="4"/>
  <c r="J82" i="4"/>
  <c r="O82" i="4" s="1"/>
  <c r="I82" i="4"/>
  <c r="N82" i="4" s="1"/>
  <c r="F82" i="4"/>
  <c r="E82" i="4"/>
  <c r="J81" i="4"/>
  <c r="O81" i="4" s="1"/>
  <c r="I81" i="4"/>
  <c r="F81" i="4"/>
  <c r="E81" i="4"/>
  <c r="J80" i="4"/>
  <c r="O80" i="4" s="1"/>
  <c r="I80" i="4"/>
  <c r="F80" i="4"/>
  <c r="E80" i="4"/>
  <c r="J79" i="4"/>
  <c r="O79" i="4" s="1"/>
  <c r="I79" i="4"/>
  <c r="M79" i="4" s="1"/>
  <c r="F79" i="4"/>
  <c r="E79" i="4"/>
  <c r="J78" i="4"/>
  <c r="O78" i="4" s="1"/>
  <c r="I78" i="4"/>
  <c r="F78" i="4"/>
  <c r="E78" i="4"/>
  <c r="J77" i="4"/>
  <c r="O77" i="4" s="1"/>
  <c r="I77" i="4"/>
  <c r="M77" i="4" s="1"/>
  <c r="F77" i="4"/>
  <c r="E77" i="4"/>
  <c r="J76" i="4"/>
  <c r="O76" i="4" s="1"/>
  <c r="I76" i="4"/>
  <c r="F76" i="4"/>
  <c r="E76" i="4"/>
  <c r="J75" i="4"/>
  <c r="O75" i="4" s="1"/>
  <c r="I75" i="4"/>
  <c r="F75" i="4"/>
  <c r="E75" i="4"/>
  <c r="J74" i="4"/>
  <c r="O74" i="4" s="1"/>
  <c r="I74" i="4"/>
  <c r="F74" i="4"/>
  <c r="E74" i="4"/>
  <c r="J73" i="4"/>
  <c r="O73" i="4" s="1"/>
  <c r="I73" i="4"/>
  <c r="F73" i="4"/>
  <c r="E73" i="4"/>
  <c r="J72" i="4"/>
  <c r="O72" i="4" s="1"/>
  <c r="I72" i="4"/>
  <c r="F72" i="4"/>
  <c r="E72" i="4"/>
  <c r="J71" i="4"/>
  <c r="O71" i="4" s="1"/>
  <c r="I71" i="4"/>
  <c r="F71" i="4"/>
  <c r="E71" i="4"/>
  <c r="J70" i="4"/>
  <c r="O70" i="4" s="1"/>
  <c r="I70" i="4"/>
  <c r="K70" i="4" s="1"/>
  <c r="F70" i="4"/>
  <c r="E70" i="4"/>
  <c r="J69" i="4"/>
  <c r="O69" i="4" s="1"/>
  <c r="I69" i="4"/>
  <c r="F69" i="4"/>
  <c r="E69" i="4"/>
  <c r="J68" i="4"/>
  <c r="O68" i="4" s="1"/>
  <c r="I68" i="4"/>
  <c r="F68" i="4"/>
  <c r="E68" i="4"/>
  <c r="J67" i="4"/>
  <c r="O67" i="4" s="1"/>
  <c r="I67" i="4"/>
  <c r="F67" i="4"/>
  <c r="E67" i="4"/>
  <c r="J66" i="4"/>
  <c r="O66" i="4" s="1"/>
  <c r="I66" i="4"/>
  <c r="N66" i="4" s="1"/>
  <c r="F66" i="4"/>
  <c r="E66" i="4"/>
  <c r="J65" i="4"/>
  <c r="O65" i="4" s="1"/>
  <c r="I65" i="4"/>
  <c r="F65" i="4"/>
  <c r="E65" i="4"/>
  <c r="J64" i="4"/>
  <c r="O64" i="4" s="1"/>
  <c r="I64" i="4"/>
  <c r="F64" i="4"/>
  <c r="E64" i="4"/>
  <c r="J63" i="4"/>
  <c r="O63" i="4" s="1"/>
  <c r="I63" i="4"/>
  <c r="N63" i="4" s="1"/>
  <c r="F63" i="4"/>
  <c r="E63" i="4"/>
  <c r="J62" i="4"/>
  <c r="O62" i="4" s="1"/>
  <c r="I62" i="4"/>
  <c r="N62" i="4" s="1"/>
  <c r="F62" i="4"/>
  <c r="E62" i="4"/>
  <c r="J61" i="4"/>
  <c r="O61" i="4" s="1"/>
  <c r="I61" i="4"/>
  <c r="N61" i="4" s="1"/>
  <c r="F61" i="4"/>
  <c r="E61" i="4"/>
  <c r="J60" i="4"/>
  <c r="O60" i="4" s="1"/>
  <c r="I60" i="4"/>
  <c r="N60" i="4" s="1"/>
  <c r="F60" i="4"/>
  <c r="E60" i="4"/>
  <c r="J59" i="4"/>
  <c r="O59" i="4" s="1"/>
  <c r="I59" i="4"/>
  <c r="N59" i="4" s="1"/>
  <c r="F59" i="4"/>
  <c r="E59" i="4"/>
  <c r="J58" i="4"/>
  <c r="O58" i="4" s="1"/>
  <c r="I58" i="4"/>
  <c r="N58" i="4" s="1"/>
  <c r="F58" i="4"/>
  <c r="E58" i="4"/>
  <c r="J57" i="4"/>
  <c r="O57" i="4" s="1"/>
  <c r="I57" i="4"/>
  <c r="N57" i="4" s="1"/>
  <c r="F57" i="4"/>
  <c r="E57" i="4"/>
  <c r="J56" i="4"/>
  <c r="O56" i="4" s="1"/>
  <c r="I56" i="4"/>
  <c r="N56" i="4" s="1"/>
  <c r="F56" i="4"/>
  <c r="E56" i="4"/>
  <c r="J55" i="4"/>
  <c r="O55" i="4" s="1"/>
  <c r="I55" i="4"/>
  <c r="N55" i="4" s="1"/>
  <c r="F55" i="4"/>
  <c r="E55" i="4"/>
  <c r="J54" i="4"/>
  <c r="O54" i="4" s="1"/>
  <c r="I54" i="4"/>
  <c r="N54" i="4" s="1"/>
  <c r="F54" i="4"/>
  <c r="E54" i="4"/>
  <c r="J53" i="4"/>
  <c r="O53" i="4" s="1"/>
  <c r="I53" i="4"/>
  <c r="N53" i="4" s="1"/>
  <c r="F53" i="4"/>
  <c r="E53" i="4"/>
  <c r="J52" i="4"/>
  <c r="O52" i="4" s="1"/>
  <c r="I52" i="4"/>
  <c r="N52" i="4" s="1"/>
  <c r="F52" i="4"/>
  <c r="E52" i="4"/>
  <c r="J51" i="4"/>
  <c r="O51" i="4" s="1"/>
  <c r="I51" i="4"/>
  <c r="N51" i="4" s="1"/>
  <c r="F51" i="4"/>
  <c r="E51" i="4"/>
  <c r="J50" i="4"/>
  <c r="O50" i="4" s="1"/>
  <c r="I50" i="4"/>
  <c r="N50" i="4" s="1"/>
  <c r="F50" i="4"/>
  <c r="E50" i="4"/>
  <c r="J49" i="4"/>
  <c r="O49" i="4" s="1"/>
  <c r="I49" i="4"/>
  <c r="N49" i="4" s="1"/>
  <c r="F49" i="4"/>
  <c r="E49" i="4"/>
  <c r="J48" i="4"/>
  <c r="O48" i="4" s="1"/>
  <c r="I48" i="4"/>
  <c r="N48" i="4" s="1"/>
  <c r="F48" i="4"/>
  <c r="E48" i="4"/>
  <c r="J47" i="4"/>
  <c r="O47" i="4" s="1"/>
  <c r="I47" i="4"/>
  <c r="N47" i="4" s="1"/>
  <c r="F47" i="4"/>
  <c r="E47" i="4"/>
  <c r="J46" i="4"/>
  <c r="O46" i="4" s="1"/>
  <c r="I46" i="4"/>
  <c r="N46" i="4" s="1"/>
  <c r="F46" i="4"/>
  <c r="E46" i="4"/>
  <c r="J45" i="4"/>
  <c r="O45" i="4" s="1"/>
  <c r="I45" i="4"/>
  <c r="N45" i="4" s="1"/>
  <c r="F45" i="4"/>
  <c r="E45" i="4"/>
  <c r="J44" i="4"/>
  <c r="O44" i="4" s="1"/>
  <c r="I44" i="4"/>
  <c r="N44" i="4" s="1"/>
  <c r="F44" i="4"/>
  <c r="E44" i="4"/>
  <c r="J43" i="4"/>
  <c r="O43" i="4" s="1"/>
  <c r="I43" i="4"/>
  <c r="N43" i="4" s="1"/>
  <c r="F43" i="4"/>
  <c r="E43" i="4"/>
  <c r="J42" i="4"/>
  <c r="O42" i="4" s="1"/>
  <c r="I42" i="4"/>
  <c r="F42" i="4"/>
  <c r="E42" i="4"/>
  <c r="J41" i="4"/>
  <c r="O41" i="4" s="1"/>
  <c r="I41" i="4"/>
  <c r="F41" i="4"/>
  <c r="E41" i="4"/>
  <c r="J40" i="4"/>
  <c r="O40" i="4" s="1"/>
  <c r="I40" i="4"/>
  <c r="M40" i="4" s="1"/>
  <c r="F40" i="4"/>
  <c r="E40" i="4"/>
  <c r="J39" i="4"/>
  <c r="O39" i="4" s="1"/>
  <c r="I39" i="4"/>
  <c r="F39" i="4"/>
  <c r="E39" i="4"/>
  <c r="J38" i="4"/>
  <c r="O38" i="4" s="1"/>
  <c r="I38" i="4"/>
  <c r="F38" i="4"/>
  <c r="E38" i="4"/>
  <c r="J37" i="4"/>
  <c r="O37" i="4" s="1"/>
  <c r="I37" i="4"/>
  <c r="K37" i="4" s="1"/>
  <c r="F37" i="4"/>
  <c r="E37" i="4"/>
  <c r="J36" i="4"/>
  <c r="O36" i="4" s="1"/>
  <c r="I36" i="4"/>
  <c r="F36" i="4"/>
  <c r="E36" i="4"/>
  <c r="J35" i="4"/>
  <c r="O35" i="4" s="1"/>
  <c r="I35" i="4"/>
  <c r="F35" i="4"/>
  <c r="E35" i="4"/>
  <c r="J34" i="4"/>
  <c r="O34" i="4" s="1"/>
  <c r="I34" i="4"/>
  <c r="F34" i="4"/>
  <c r="E34" i="4"/>
  <c r="J33" i="4"/>
  <c r="O33" i="4" s="1"/>
  <c r="I33" i="4"/>
  <c r="F33" i="4"/>
  <c r="E33" i="4"/>
  <c r="J32" i="4"/>
  <c r="O32" i="4" s="1"/>
  <c r="I32" i="4"/>
  <c r="F32" i="4"/>
  <c r="E32" i="4"/>
  <c r="J31" i="4"/>
  <c r="O31" i="4" s="1"/>
  <c r="I31" i="4"/>
  <c r="F31" i="4"/>
  <c r="E31" i="4"/>
  <c r="J30" i="4"/>
  <c r="O30" i="4" s="1"/>
  <c r="I30" i="4"/>
  <c r="N30" i="4" s="1"/>
  <c r="F30" i="4"/>
  <c r="E30" i="4"/>
  <c r="J29" i="4"/>
  <c r="O29" i="4" s="1"/>
  <c r="I29" i="4"/>
  <c r="K29" i="4" s="1"/>
  <c r="F29" i="4"/>
  <c r="E29" i="4"/>
  <c r="J28" i="4"/>
  <c r="O28" i="4" s="1"/>
  <c r="I28" i="4"/>
  <c r="F28" i="4"/>
  <c r="E28" i="4"/>
  <c r="J27" i="4"/>
  <c r="O27" i="4" s="1"/>
  <c r="I27" i="4"/>
  <c r="F27" i="4"/>
  <c r="E27" i="4"/>
  <c r="N26" i="4"/>
  <c r="J26" i="4"/>
  <c r="O26" i="4" s="1"/>
  <c r="I26" i="4"/>
  <c r="F26" i="4"/>
  <c r="E26" i="4"/>
  <c r="J25" i="4"/>
  <c r="O25" i="4" s="1"/>
  <c r="I25" i="4"/>
  <c r="F25" i="4"/>
  <c r="E25" i="4"/>
  <c r="J24" i="4"/>
  <c r="O24" i="4" s="1"/>
  <c r="I24" i="4"/>
  <c r="F24" i="4"/>
  <c r="E24" i="4"/>
  <c r="J23" i="4"/>
  <c r="O23" i="4" s="1"/>
  <c r="I23" i="4"/>
  <c r="F23" i="4"/>
  <c r="E23" i="4"/>
  <c r="J22" i="4"/>
  <c r="O22" i="4" s="1"/>
  <c r="I22" i="4"/>
  <c r="N22" i="4" s="1"/>
  <c r="F22" i="4"/>
  <c r="E22" i="4"/>
  <c r="J21" i="4"/>
  <c r="O21" i="4" s="1"/>
  <c r="I21" i="4"/>
  <c r="N21" i="4" s="1"/>
  <c r="F21" i="4"/>
  <c r="E21" i="4"/>
  <c r="J20" i="4"/>
  <c r="O20" i="4" s="1"/>
  <c r="I20" i="4"/>
  <c r="N20" i="4" s="1"/>
  <c r="F20" i="4"/>
  <c r="E20" i="4"/>
  <c r="J19" i="4"/>
  <c r="O19" i="4" s="1"/>
  <c r="I19" i="4"/>
  <c r="N19" i="4" s="1"/>
  <c r="F19" i="4"/>
  <c r="E19" i="4"/>
  <c r="J18" i="4"/>
  <c r="O18" i="4" s="1"/>
  <c r="I18" i="4"/>
  <c r="N18" i="4" s="1"/>
  <c r="F18" i="4"/>
  <c r="E18" i="4"/>
  <c r="J17" i="4"/>
  <c r="O17" i="4" s="1"/>
  <c r="I17" i="4"/>
  <c r="N17" i="4" s="1"/>
  <c r="F17" i="4"/>
  <c r="E17" i="4"/>
  <c r="J16" i="4"/>
  <c r="O16" i="4" s="1"/>
  <c r="I16" i="4"/>
  <c r="N16" i="4" s="1"/>
  <c r="F16" i="4"/>
  <c r="E16" i="4"/>
  <c r="J15" i="4"/>
  <c r="O15" i="4" s="1"/>
  <c r="I15" i="4"/>
  <c r="N15" i="4" s="1"/>
  <c r="F15" i="4"/>
  <c r="E15" i="4"/>
  <c r="J14" i="4"/>
  <c r="O14" i="4" s="1"/>
  <c r="I14" i="4"/>
  <c r="N14" i="4" s="1"/>
  <c r="F14" i="4"/>
  <c r="E14" i="4"/>
  <c r="J13" i="4"/>
  <c r="O13" i="4" s="1"/>
  <c r="I13" i="4"/>
  <c r="N13" i="4" s="1"/>
  <c r="F13" i="4"/>
  <c r="E13" i="4"/>
  <c r="J12" i="4"/>
  <c r="O12" i="4" s="1"/>
  <c r="I12" i="4"/>
  <c r="F12" i="4"/>
  <c r="E12" i="4"/>
  <c r="J11" i="4"/>
  <c r="O11" i="4" s="1"/>
  <c r="I11" i="4"/>
  <c r="N11" i="4" s="1"/>
  <c r="F11" i="4"/>
  <c r="E11" i="4"/>
  <c r="J10" i="4"/>
  <c r="O10" i="4" s="1"/>
  <c r="I10" i="4"/>
  <c r="F10" i="4"/>
  <c r="E10" i="4"/>
  <c r="J9" i="4"/>
  <c r="O9" i="4" s="1"/>
  <c r="I9" i="4"/>
  <c r="N9" i="4" s="1"/>
  <c r="F9" i="4"/>
  <c r="E9" i="4"/>
  <c r="J8" i="4"/>
  <c r="O8" i="4" s="1"/>
  <c r="I8" i="4"/>
  <c r="N8" i="4" s="1"/>
  <c r="F8" i="4"/>
  <c r="E8" i="4"/>
  <c r="J7" i="4"/>
  <c r="O7" i="4" s="1"/>
  <c r="I7" i="4"/>
  <c r="N7" i="4" s="1"/>
  <c r="F7" i="4"/>
  <c r="E7" i="4"/>
  <c r="J6" i="4"/>
  <c r="O6" i="4" s="1"/>
  <c r="I6" i="4"/>
  <c r="N6" i="4" s="1"/>
  <c r="F6" i="4"/>
  <c r="E6" i="4"/>
  <c r="J5" i="4"/>
  <c r="O5" i="4" s="1"/>
  <c r="I5" i="4"/>
  <c r="N5" i="4" s="1"/>
  <c r="F5" i="4"/>
  <c r="E5" i="4"/>
  <c r="J4" i="4"/>
  <c r="O4" i="4" s="1"/>
  <c r="I4" i="4"/>
  <c r="N4" i="4" s="1"/>
  <c r="F4" i="4"/>
  <c r="E4" i="4"/>
  <c r="J3" i="4"/>
  <c r="O3" i="4" s="1"/>
  <c r="I3" i="4"/>
  <c r="N3" i="4" s="1"/>
  <c r="F3" i="4"/>
  <c r="E3" i="4"/>
  <c r="J2" i="4"/>
  <c r="O2" i="4" s="1"/>
  <c r="I2" i="4"/>
  <c r="M2" i="4" s="1"/>
  <c r="F2" i="4"/>
  <c r="E2" i="4"/>
  <c r="J91" i="5"/>
  <c r="I91" i="5"/>
  <c r="N91" i="5" s="1"/>
  <c r="F91" i="5"/>
  <c r="E91" i="5"/>
  <c r="J90" i="5"/>
  <c r="I90" i="5"/>
  <c r="N90" i="5" s="1"/>
  <c r="F90" i="5"/>
  <c r="E90" i="5"/>
  <c r="J89" i="5"/>
  <c r="I89" i="5"/>
  <c r="N89" i="5" s="1"/>
  <c r="F89" i="5"/>
  <c r="E89" i="5"/>
  <c r="J88" i="5"/>
  <c r="I88" i="5"/>
  <c r="N88" i="5" s="1"/>
  <c r="F88" i="5"/>
  <c r="J87" i="5"/>
  <c r="I87" i="5"/>
  <c r="N87" i="5" s="1"/>
  <c r="F87" i="5"/>
  <c r="J86" i="5"/>
  <c r="I86" i="5"/>
  <c r="N86" i="5" s="1"/>
  <c r="F86" i="5"/>
  <c r="J85" i="5"/>
  <c r="I85" i="5"/>
  <c r="N85" i="5" s="1"/>
  <c r="F85" i="5"/>
  <c r="J84" i="5"/>
  <c r="O84" i="5" s="1"/>
  <c r="I84" i="5"/>
  <c r="N84" i="5" s="1"/>
  <c r="F84" i="5"/>
  <c r="J83" i="5"/>
  <c r="I83" i="5"/>
  <c r="N83" i="5" s="1"/>
  <c r="F83" i="5"/>
  <c r="J82" i="5"/>
  <c r="O82" i="5" s="1"/>
  <c r="I82" i="5"/>
  <c r="N82" i="5" s="1"/>
  <c r="F82" i="5"/>
  <c r="J81" i="5"/>
  <c r="O81" i="5" s="1"/>
  <c r="I81" i="5"/>
  <c r="N81" i="5" s="1"/>
  <c r="F81" i="5"/>
  <c r="E81" i="5"/>
  <c r="J80" i="5"/>
  <c r="O80" i="5" s="1"/>
  <c r="I80" i="5"/>
  <c r="N80" i="5" s="1"/>
  <c r="F80" i="5"/>
  <c r="J79" i="5"/>
  <c r="O79" i="5" s="1"/>
  <c r="I79" i="5"/>
  <c r="N79" i="5" s="1"/>
  <c r="F79" i="5"/>
  <c r="E79" i="5"/>
  <c r="J78" i="5"/>
  <c r="O78" i="5" s="1"/>
  <c r="I78" i="5"/>
  <c r="N78" i="5" s="1"/>
  <c r="F78" i="5"/>
  <c r="J77" i="5"/>
  <c r="O77" i="5" s="1"/>
  <c r="I77" i="5"/>
  <c r="N77" i="5" s="1"/>
  <c r="F77" i="5"/>
  <c r="E77" i="5"/>
  <c r="J76" i="5"/>
  <c r="O76" i="5" s="1"/>
  <c r="I76" i="5"/>
  <c r="N76" i="5" s="1"/>
  <c r="F76" i="5"/>
  <c r="E76" i="5"/>
  <c r="J75" i="5"/>
  <c r="O75" i="5" s="1"/>
  <c r="I75" i="5"/>
  <c r="N75" i="5" s="1"/>
  <c r="F75" i="5"/>
  <c r="J74" i="5"/>
  <c r="O74" i="5" s="1"/>
  <c r="I74" i="5"/>
  <c r="N74" i="5" s="1"/>
  <c r="F74" i="5"/>
  <c r="E74" i="5"/>
  <c r="J73" i="5"/>
  <c r="O73" i="5" s="1"/>
  <c r="I73" i="5"/>
  <c r="N73" i="5" s="1"/>
  <c r="F73" i="5"/>
  <c r="E73" i="5"/>
  <c r="J72" i="5"/>
  <c r="O72" i="5" s="1"/>
  <c r="I72" i="5"/>
  <c r="F72" i="5"/>
  <c r="E72" i="5"/>
  <c r="J71" i="5"/>
  <c r="O71" i="5" s="1"/>
  <c r="I71" i="5"/>
  <c r="M71" i="5" s="1"/>
  <c r="F71" i="5"/>
  <c r="E71" i="5"/>
  <c r="J70" i="5"/>
  <c r="O70" i="5" s="1"/>
  <c r="I70" i="5"/>
  <c r="F70" i="5"/>
  <c r="E70" i="5"/>
  <c r="J69" i="5"/>
  <c r="O69" i="5" s="1"/>
  <c r="I69" i="5"/>
  <c r="F69" i="5"/>
  <c r="E69" i="5"/>
  <c r="J68" i="5"/>
  <c r="O68" i="5" s="1"/>
  <c r="I68" i="5"/>
  <c r="F68" i="5"/>
  <c r="E68" i="5"/>
  <c r="J67" i="5"/>
  <c r="O67" i="5" s="1"/>
  <c r="I67" i="5"/>
  <c r="F67" i="5"/>
  <c r="E67" i="5"/>
  <c r="J66" i="5"/>
  <c r="O66" i="5" s="1"/>
  <c r="I66" i="5"/>
  <c r="F66" i="5"/>
  <c r="E66" i="5"/>
  <c r="J65" i="5"/>
  <c r="O65" i="5" s="1"/>
  <c r="I65" i="5"/>
  <c r="M65" i="5" s="1"/>
  <c r="F65" i="5"/>
  <c r="E65" i="5"/>
  <c r="J64" i="5"/>
  <c r="O64" i="5" s="1"/>
  <c r="I64" i="5"/>
  <c r="F64" i="5"/>
  <c r="E64" i="5"/>
  <c r="J63" i="5"/>
  <c r="O63" i="5" s="1"/>
  <c r="I63" i="5"/>
  <c r="F63" i="5"/>
  <c r="E63" i="5"/>
  <c r="J62" i="5"/>
  <c r="O62" i="5" s="1"/>
  <c r="I62" i="5"/>
  <c r="F62" i="5"/>
  <c r="E62" i="5"/>
  <c r="J61" i="5"/>
  <c r="O61" i="5" s="1"/>
  <c r="I61" i="5"/>
  <c r="F61" i="5"/>
  <c r="E61" i="5"/>
  <c r="J60" i="5"/>
  <c r="O60" i="5" s="1"/>
  <c r="I60" i="5"/>
  <c r="N60" i="5" s="1"/>
  <c r="F60" i="5"/>
  <c r="E60" i="5"/>
  <c r="J59" i="5"/>
  <c r="O59" i="5" s="1"/>
  <c r="I59" i="5"/>
  <c r="F59" i="5"/>
  <c r="E59" i="5"/>
  <c r="J58" i="5"/>
  <c r="O58" i="5" s="1"/>
  <c r="I58" i="5"/>
  <c r="F58" i="5"/>
  <c r="E58" i="5"/>
  <c r="J57" i="5"/>
  <c r="O57" i="5" s="1"/>
  <c r="I57" i="5"/>
  <c r="F57" i="5"/>
  <c r="E57" i="5"/>
  <c r="J56" i="5"/>
  <c r="O56" i="5" s="1"/>
  <c r="I56" i="5"/>
  <c r="K56" i="5" s="1"/>
  <c r="F56" i="5"/>
  <c r="E56" i="5"/>
  <c r="J55" i="5"/>
  <c r="O55" i="5" s="1"/>
  <c r="I55" i="5"/>
  <c r="F55" i="5"/>
  <c r="E55" i="5"/>
  <c r="J54" i="5"/>
  <c r="O54" i="5" s="1"/>
  <c r="I54" i="5"/>
  <c r="N54" i="5" s="1"/>
  <c r="F54" i="5"/>
  <c r="E54" i="5"/>
  <c r="J53" i="5"/>
  <c r="O53" i="5" s="1"/>
  <c r="I53" i="5"/>
  <c r="N53" i="5" s="1"/>
  <c r="F53" i="5"/>
  <c r="E53" i="5"/>
  <c r="J52" i="5"/>
  <c r="O52" i="5" s="1"/>
  <c r="I52" i="5"/>
  <c r="N52" i="5" s="1"/>
  <c r="F52" i="5"/>
  <c r="E52" i="5"/>
  <c r="N51" i="5"/>
  <c r="O50" i="5"/>
  <c r="N50" i="5"/>
  <c r="O49" i="5"/>
  <c r="N49" i="5"/>
  <c r="O48" i="5"/>
  <c r="N48" i="5"/>
  <c r="O47" i="5"/>
  <c r="N47" i="5"/>
  <c r="O46" i="5"/>
  <c r="N46" i="5"/>
  <c r="O45" i="5"/>
  <c r="N45" i="5"/>
  <c r="O44" i="5"/>
  <c r="N44" i="5"/>
  <c r="N43" i="5"/>
  <c r="M51" i="5"/>
  <c r="O42" i="5"/>
  <c r="N42" i="5"/>
  <c r="J41" i="5"/>
  <c r="O41" i="5" s="1"/>
  <c r="I41" i="5"/>
  <c r="K41" i="5" s="1"/>
  <c r="F41" i="5"/>
  <c r="E41" i="5"/>
  <c r="J40" i="5"/>
  <c r="O40" i="5" s="1"/>
  <c r="I40" i="5"/>
  <c r="N40" i="5" s="1"/>
  <c r="F40" i="5"/>
  <c r="E40" i="5"/>
  <c r="J39" i="5"/>
  <c r="O39" i="5" s="1"/>
  <c r="I39" i="5"/>
  <c r="N39" i="5" s="1"/>
  <c r="F39" i="5"/>
  <c r="E39" i="5"/>
  <c r="J38" i="5"/>
  <c r="O38" i="5" s="1"/>
  <c r="I38" i="5"/>
  <c r="F38" i="5"/>
  <c r="E38" i="5"/>
  <c r="J37" i="5"/>
  <c r="O37" i="5" s="1"/>
  <c r="I37" i="5"/>
  <c r="K37" i="5" s="1"/>
  <c r="F37" i="5"/>
  <c r="E37" i="5"/>
  <c r="J36" i="5"/>
  <c r="O36" i="5" s="1"/>
  <c r="I36" i="5"/>
  <c r="N36" i="5" s="1"/>
  <c r="F36" i="5"/>
  <c r="E36" i="5"/>
  <c r="J35" i="5"/>
  <c r="O35" i="5" s="1"/>
  <c r="I35" i="5"/>
  <c r="N35" i="5" s="1"/>
  <c r="F35" i="5"/>
  <c r="E35" i="5"/>
  <c r="J34" i="5"/>
  <c r="O34" i="5" s="1"/>
  <c r="I34" i="5"/>
  <c r="K34" i="5" s="1"/>
  <c r="F34" i="5"/>
  <c r="E34" i="5"/>
  <c r="J33" i="5"/>
  <c r="O33" i="5" s="1"/>
  <c r="I33" i="5"/>
  <c r="K33" i="5" s="1"/>
  <c r="F33" i="5"/>
  <c r="E33" i="5"/>
  <c r="J32" i="5"/>
  <c r="O32" i="5" s="1"/>
  <c r="I32" i="5"/>
  <c r="F32" i="5"/>
  <c r="E32" i="5"/>
  <c r="O31" i="5"/>
  <c r="N31" i="5"/>
  <c r="O30" i="5"/>
  <c r="O29" i="5"/>
  <c r="O28" i="5"/>
  <c r="N28" i="5"/>
  <c r="O27" i="5"/>
  <c r="N27" i="5"/>
  <c r="O26" i="5"/>
  <c r="O25" i="5"/>
  <c r="N25" i="5"/>
  <c r="O24" i="5"/>
  <c r="N24" i="5"/>
  <c r="O23" i="5"/>
  <c r="N23" i="5"/>
  <c r="O22" i="5"/>
  <c r="M22" i="5"/>
  <c r="J21" i="5"/>
  <c r="O21" i="5" s="1"/>
  <c r="I21" i="5"/>
  <c r="N21" i="5" s="1"/>
  <c r="F21" i="5"/>
  <c r="E21" i="5"/>
  <c r="J20" i="5"/>
  <c r="O20" i="5" s="1"/>
  <c r="I20" i="5"/>
  <c r="N20" i="5" s="1"/>
  <c r="F20" i="5"/>
  <c r="E20" i="5"/>
  <c r="J19" i="5"/>
  <c r="O19" i="5" s="1"/>
  <c r="I19" i="5"/>
  <c r="F19" i="5"/>
  <c r="E19" i="5"/>
  <c r="J18" i="5"/>
  <c r="O18" i="5" s="1"/>
  <c r="I18" i="5"/>
  <c r="N18" i="5" s="1"/>
  <c r="F18" i="5"/>
  <c r="E18" i="5"/>
  <c r="J17" i="5"/>
  <c r="O17" i="5" s="1"/>
  <c r="I17" i="5"/>
  <c r="N17" i="5" s="1"/>
  <c r="F17" i="5"/>
  <c r="E17" i="5"/>
  <c r="J16" i="5"/>
  <c r="O16" i="5" s="1"/>
  <c r="I16" i="5"/>
  <c r="N16" i="5" s="1"/>
  <c r="F16" i="5"/>
  <c r="E16" i="5"/>
  <c r="J15" i="5"/>
  <c r="O15" i="5" s="1"/>
  <c r="I15" i="5"/>
  <c r="N15" i="5" s="1"/>
  <c r="F15" i="5"/>
  <c r="E15" i="5"/>
  <c r="J14" i="5"/>
  <c r="O14" i="5" s="1"/>
  <c r="I14" i="5"/>
  <c r="N14" i="5" s="1"/>
  <c r="F14" i="5"/>
  <c r="E14" i="5"/>
  <c r="J13" i="5"/>
  <c r="O13" i="5" s="1"/>
  <c r="I13" i="5"/>
  <c r="N13" i="5" s="1"/>
  <c r="F13" i="5"/>
  <c r="E13" i="5"/>
  <c r="J12" i="5"/>
  <c r="K12" i="5" s="1"/>
  <c r="I12" i="5"/>
  <c r="N12" i="5" s="1"/>
  <c r="F12" i="5"/>
  <c r="E12" i="5"/>
  <c r="J11" i="5"/>
  <c r="N11" i="5"/>
  <c r="F11" i="5"/>
  <c r="E11" i="5"/>
  <c r="J10" i="5"/>
  <c r="O10" i="5" s="1"/>
  <c r="I10" i="5"/>
  <c r="N10" i="5" s="1"/>
  <c r="F10" i="5"/>
  <c r="E10" i="5"/>
  <c r="J9" i="5"/>
  <c r="O9" i="5" s="1"/>
  <c r="I9" i="5"/>
  <c r="N9" i="5" s="1"/>
  <c r="F9" i="5"/>
  <c r="E9" i="5"/>
  <c r="J8" i="5"/>
  <c r="O8" i="5" s="1"/>
  <c r="I8" i="5"/>
  <c r="N8" i="5" s="1"/>
  <c r="F8" i="5"/>
  <c r="E8" i="5"/>
  <c r="J7" i="5"/>
  <c r="O7" i="5" s="1"/>
  <c r="I7" i="5"/>
  <c r="N7" i="5" s="1"/>
  <c r="F7" i="5"/>
  <c r="E7" i="5"/>
  <c r="J6" i="5"/>
  <c r="O6" i="5" s="1"/>
  <c r="I6" i="5"/>
  <c r="F6" i="5"/>
  <c r="E6" i="5"/>
  <c r="J5" i="5"/>
  <c r="O5" i="5" s="1"/>
  <c r="I5" i="5"/>
  <c r="F5" i="5"/>
  <c r="E5" i="5"/>
  <c r="J4" i="5"/>
  <c r="O4" i="5" s="1"/>
  <c r="I4" i="5"/>
  <c r="F4" i="5"/>
  <c r="E4" i="5"/>
  <c r="J3" i="5"/>
  <c r="O3" i="5" s="1"/>
  <c r="M3" i="5"/>
  <c r="F3" i="5"/>
  <c r="E3" i="5"/>
  <c r="N2" i="5"/>
  <c r="M11" i="5"/>
  <c r="J2" i="5"/>
  <c r="O2" i="5" s="1"/>
  <c r="E2" i="5"/>
  <c r="K34" i="4" l="1"/>
  <c r="K73" i="4"/>
  <c r="K81" i="4"/>
  <c r="K76" i="4"/>
  <c r="K78" i="4"/>
  <c r="K80" i="4"/>
  <c r="K36" i="4"/>
  <c r="K28" i="4"/>
  <c r="K10" i="4"/>
  <c r="K90" i="5"/>
  <c r="K91" i="5"/>
  <c r="K83" i="5"/>
  <c r="K87" i="5"/>
  <c r="K61" i="5"/>
  <c r="M24" i="5"/>
  <c r="M91" i="5"/>
  <c r="K4" i="5"/>
  <c r="K12" i="4"/>
  <c r="M15" i="4"/>
  <c r="M38" i="4"/>
  <c r="K67" i="4"/>
  <c r="M61" i="4"/>
  <c r="K19" i="5"/>
  <c r="K88" i="4"/>
  <c r="K30" i="4"/>
  <c r="K41" i="4"/>
  <c r="K85" i="5"/>
  <c r="K63" i="5"/>
  <c r="K85" i="4"/>
  <c r="K27" i="4"/>
  <c r="K42" i="4"/>
  <c r="K49" i="4"/>
  <c r="K75" i="4"/>
  <c r="K64" i="5"/>
  <c r="K64" i="4"/>
  <c r="K68" i="5"/>
  <c r="K39" i="4"/>
  <c r="K46" i="4"/>
  <c r="K68" i="4"/>
  <c r="K88" i="5"/>
  <c r="M75" i="4"/>
  <c r="K65" i="4"/>
  <c r="N10" i="4"/>
  <c r="M33" i="4"/>
  <c r="K69" i="4"/>
  <c r="K86" i="5"/>
  <c r="O87" i="5"/>
  <c r="K79" i="5"/>
  <c r="K72" i="5"/>
  <c r="K67" i="5"/>
  <c r="K71" i="5"/>
  <c r="K66" i="5"/>
  <c r="K70" i="5"/>
  <c r="K59" i="5"/>
  <c r="K57" i="5"/>
  <c r="M46" i="5"/>
  <c r="M49" i="5"/>
  <c r="O43" i="5"/>
  <c r="K36" i="5"/>
  <c r="M28" i="5"/>
  <c r="M23" i="5"/>
  <c r="N29" i="5"/>
  <c r="K18" i="5"/>
  <c r="K9" i="5"/>
  <c r="K81" i="5"/>
  <c r="M34" i="4"/>
  <c r="K6" i="5"/>
  <c r="M9" i="5"/>
  <c r="K55" i="5"/>
  <c r="M68" i="5"/>
  <c r="K40" i="4"/>
  <c r="K66" i="4"/>
  <c r="K79" i="4"/>
  <c r="M27" i="5"/>
  <c r="K69" i="5"/>
  <c r="K78" i="5"/>
  <c r="K8" i="4"/>
  <c r="K24" i="4"/>
  <c r="K31" i="4"/>
  <c r="M37" i="4"/>
  <c r="K63" i="4"/>
  <c r="M76" i="4"/>
  <c r="K89" i="4"/>
  <c r="K40" i="5"/>
  <c r="O91" i="5"/>
  <c r="K50" i="4"/>
  <c r="M10" i="5"/>
  <c r="N19" i="5"/>
  <c r="N56" i="5"/>
  <c r="K60" i="5"/>
  <c r="M66" i="5"/>
  <c r="K38" i="4"/>
  <c r="K47" i="4"/>
  <c r="M53" i="4"/>
  <c r="K77" i="4"/>
  <c r="K86" i="4"/>
  <c r="M14" i="4"/>
  <c r="N22" i="5"/>
  <c r="K38" i="5"/>
  <c r="M50" i="5"/>
  <c r="M63" i="5"/>
  <c r="K82" i="5"/>
  <c r="K2" i="4"/>
  <c r="K25" i="4"/>
  <c r="K35" i="4"/>
  <c r="M41" i="4"/>
  <c r="K44" i="4"/>
  <c r="K71" i="4"/>
  <c r="K74" i="4"/>
  <c r="M80" i="4"/>
  <c r="K83" i="4"/>
  <c r="N72" i="5"/>
  <c r="M31" i="5"/>
  <c r="K76" i="5"/>
  <c r="K89" i="5"/>
  <c r="N2" i="4"/>
  <c r="N25" i="4"/>
  <c r="M35" i="4"/>
  <c r="N71" i="4"/>
  <c r="M74" i="4"/>
  <c r="M21" i="4"/>
  <c r="M70" i="5"/>
  <c r="K73" i="5"/>
  <c r="K51" i="4"/>
  <c r="K90" i="4"/>
  <c r="K84" i="5"/>
  <c r="K10" i="5"/>
  <c r="K11" i="5"/>
  <c r="K14" i="5"/>
  <c r="K35" i="5"/>
  <c r="M45" i="5"/>
  <c r="N57" i="5"/>
  <c r="M67" i="5"/>
  <c r="M31" i="4"/>
  <c r="N29" i="4"/>
  <c r="K48" i="4"/>
  <c r="K87" i="4"/>
  <c r="K5" i="5"/>
  <c r="O11" i="5"/>
  <c r="K54" i="5"/>
  <c r="M64" i="5"/>
  <c r="K26" i="4"/>
  <c r="K45" i="4"/>
  <c r="M72" i="4"/>
  <c r="M81" i="4"/>
  <c r="K84" i="4"/>
  <c r="K75" i="5"/>
  <c r="M73" i="4"/>
  <c r="K39" i="5"/>
  <c r="O51" i="5"/>
  <c r="N61" i="5"/>
  <c r="K80" i="5"/>
  <c r="K33" i="4"/>
  <c r="M39" i="4"/>
  <c r="N42" i="4"/>
  <c r="K62" i="4"/>
  <c r="M78" i="4"/>
  <c r="K43" i="4"/>
  <c r="M69" i="5"/>
  <c r="M2" i="5"/>
  <c r="M38" i="5"/>
  <c r="K58" i="5"/>
  <c r="K77" i="5"/>
  <c r="O83" i="5"/>
  <c r="M13" i="4"/>
  <c r="M36" i="4"/>
  <c r="N70" i="4"/>
  <c r="O88" i="5"/>
  <c r="K15" i="5"/>
  <c r="K65" i="5"/>
  <c r="K74" i="5"/>
  <c r="M16" i="4"/>
  <c r="K23" i="4"/>
  <c r="K52" i="4"/>
  <c r="M71" i="4"/>
  <c r="K82" i="4"/>
  <c r="K91" i="4"/>
  <c r="K32" i="4"/>
  <c r="N32" i="4"/>
  <c r="M11" i="4"/>
  <c r="M10" i="4"/>
  <c r="M9" i="4"/>
  <c r="M8" i="4"/>
  <c r="M7" i="4"/>
  <c r="K3" i="4"/>
  <c r="K4" i="4"/>
  <c r="K5" i="4"/>
  <c r="K6" i="4"/>
  <c r="K7" i="4"/>
  <c r="K9" i="4"/>
  <c r="K11" i="4"/>
  <c r="N12" i="4"/>
  <c r="M12" i="4"/>
  <c r="K22" i="4"/>
  <c r="N23" i="4"/>
  <c r="N27" i="4"/>
  <c r="N31" i="4"/>
  <c r="N64" i="4"/>
  <c r="N68" i="4"/>
  <c r="M91" i="4"/>
  <c r="M90" i="4"/>
  <c r="M89" i="4"/>
  <c r="M88" i="4"/>
  <c r="M87" i="4"/>
  <c r="M86" i="4"/>
  <c r="M85" i="4"/>
  <c r="M84" i="4"/>
  <c r="M83" i="4"/>
  <c r="M82" i="4"/>
  <c r="M3" i="4"/>
  <c r="M4" i="4"/>
  <c r="M5" i="4"/>
  <c r="M6" i="4"/>
  <c r="N24" i="4"/>
  <c r="N28" i="4"/>
  <c r="M51" i="4"/>
  <c r="M50" i="4"/>
  <c r="M49" i="4"/>
  <c r="M48" i="4"/>
  <c r="M47" i="4"/>
  <c r="M46" i="4"/>
  <c r="M45" i="4"/>
  <c r="M44" i="4"/>
  <c r="M43" i="4"/>
  <c r="M42" i="4"/>
  <c r="N65" i="4"/>
  <c r="N69" i="4"/>
  <c r="M32" i="4"/>
  <c r="K72" i="4"/>
  <c r="N72" i="4"/>
  <c r="K13" i="4"/>
  <c r="K14" i="4"/>
  <c r="K15" i="4"/>
  <c r="K16" i="4"/>
  <c r="K17" i="4"/>
  <c r="K18" i="4"/>
  <c r="K19" i="4"/>
  <c r="K20" i="4"/>
  <c r="K21" i="4"/>
  <c r="N33" i="4"/>
  <c r="N34" i="4"/>
  <c r="N35" i="4"/>
  <c r="N36" i="4"/>
  <c r="N37" i="4"/>
  <c r="N38" i="4"/>
  <c r="N39" i="4"/>
  <c r="N40" i="4"/>
  <c r="N41" i="4"/>
  <c r="K53" i="4"/>
  <c r="K54" i="4"/>
  <c r="K55" i="4"/>
  <c r="K56" i="4"/>
  <c r="K57" i="4"/>
  <c r="K58" i="4"/>
  <c r="K59" i="4"/>
  <c r="K60" i="4"/>
  <c r="K61" i="4"/>
  <c r="N73" i="4"/>
  <c r="N74" i="4"/>
  <c r="N75" i="4"/>
  <c r="N76" i="4"/>
  <c r="N77" i="4"/>
  <c r="N78" i="4"/>
  <c r="N79" i="4"/>
  <c r="N80" i="4"/>
  <c r="N81" i="4"/>
  <c r="M17" i="4"/>
  <c r="M18" i="4"/>
  <c r="M19" i="4"/>
  <c r="M20" i="4"/>
  <c r="M52" i="4"/>
  <c r="M54" i="4"/>
  <c r="M55" i="4"/>
  <c r="M56" i="4"/>
  <c r="M57" i="4"/>
  <c r="M58" i="4"/>
  <c r="M59" i="4"/>
  <c r="M60" i="4"/>
  <c r="M22" i="4"/>
  <c r="M23" i="4"/>
  <c r="M24" i="4"/>
  <c r="M25" i="4"/>
  <c r="M26" i="4"/>
  <c r="M27" i="4"/>
  <c r="M28" i="4"/>
  <c r="M29" i="4"/>
  <c r="M30" i="4"/>
  <c r="M62" i="4"/>
  <c r="M63" i="4"/>
  <c r="M64" i="4"/>
  <c r="M65" i="4"/>
  <c r="M66" i="4"/>
  <c r="M67" i="4"/>
  <c r="M68" i="4"/>
  <c r="M69" i="4"/>
  <c r="M70" i="4"/>
  <c r="N3" i="5"/>
  <c r="N4" i="5"/>
  <c r="N5" i="5"/>
  <c r="N6" i="5"/>
  <c r="O12" i="5"/>
  <c r="M33" i="5"/>
  <c r="N34" i="5"/>
  <c r="M37" i="5"/>
  <c r="N38" i="5"/>
  <c r="M41" i="5"/>
  <c r="M42" i="5"/>
  <c r="K62" i="5"/>
  <c r="N62" i="5"/>
  <c r="K2" i="5"/>
  <c r="K13" i="5"/>
  <c r="K17" i="5"/>
  <c r="M40" i="5"/>
  <c r="N41" i="5"/>
  <c r="K52" i="5"/>
  <c r="K53" i="5"/>
  <c r="O89" i="5"/>
  <c r="K3" i="5"/>
  <c r="K7" i="5"/>
  <c r="M8" i="5"/>
  <c r="M21" i="5"/>
  <c r="M20" i="5"/>
  <c r="M19" i="5"/>
  <c r="M18" i="5"/>
  <c r="M17" i="5"/>
  <c r="M16" i="5"/>
  <c r="M15" i="5"/>
  <c r="M14" i="5"/>
  <c r="M13" i="5"/>
  <c r="M12" i="5"/>
  <c r="K16" i="5"/>
  <c r="K20" i="5"/>
  <c r="M26" i="5"/>
  <c r="M30" i="5"/>
  <c r="K32" i="5"/>
  <c r="N32" i="5"/>
  <c r="M35" i="5"/>
  <c r="M39" i="5"/>
  <c r="M44" i="5"/>
  <c r="M48" i="5"/>
  <c r="M61" i="5"/>
  <c r="M60" i="5"/>
  <c r="M59" i="5"/>
  <c r="M58" i="5"/>
  <c r="M57" i="5"/>
  <c r="M56" i="5"/>
  <c r="M55" i="5"/>
  <c r="M54" i="5"/>
  <c r="M53" i="5"/>
  <c r="M52" i="5"/>
  <c r="N58" i="5"/>
  <c r="O86" i="5"/>
  <c r="O90" i="5"/>
  <c r="K8" i="5"/>
  <c r="K21" i="5"/>
  <c r="M32" i="5"/>
  <c r="N33" i="5"/>
  <c r="M36" i="5"/>
  <c r="N37" i="5"/>
  <c r="M81" i="5"/>
  <c r="M80" i="5"/>
  <c r="M79" i="5"/>
  <c r="M78" i="5"/>
  <c r="M77" i="5"/>
  <c r="M76" i="5"/>
  <c r="M75" i="5"/>
  <c r="M74" i="5"/>
  <c r="M73" i="5"/>
  <c r="M72" i="5"/>
  <c r="O85" i="5"/>
  <c r="M4" i="5"/>
  <c r="M5" i="5"/>
  <c r="M6" i="5"/>
  <c r="M7" i="5"/>
  <c r="M25" i="5"/>
  <c r="N26" i="5"/>
  <c r="M29" i="5"/>
  <c r="N30" i="5"/>
  <c r="M34" i="5"/>
  <c r="M43" i="5"/>
  <c r="M47" i="5"/>
  <c r="N55" i="5"/>
  <c r="N59" i="5"/>
  <c r="M62" i="5"/>
  <c r="N63" i="5"/>
  <c r="N64" i="5"/>
  <c r="N65" i="5"/>
  <c r="N66" i="5"/>
  <c r="N67" i="5"/>
  <c r="N68" i="5"/>
  <c r="N69" i="5"/>
  <c r="N70" i="5"/>
  <c r="N71" i="5"/>
  <c r="M82" i="5"/>
  <c r="M83" i="5"/>
  <c r="M84" i="5"/>
  <c r="M85" i="5"/>
  <c r="M86" i="5"/>
  <c r="M87" i="5"/>
  <c r="M88" i="5"/>
  <c r="M89" i="5"/>
  <c r="M90" i="5"/>
  <c r="J91" i="2" l="1"/>
  <c r="O91" i="2" s="1"/>
  <c r="I91" i="2"/>
  <c r="N91" i="2" s="1"/>
  <c r="F91" i="2"/>
  <c r="E91" i="2"/>
  <c r="J90" i="2"/>
  <c r="O90" i="2" s="1"/>
  <c r="I90" i="2"/>
  <c r="N90" i="2" s="1"/>
  <c r="F90" i="2"/>
  <c r="E90" i="2"/>
  <c r="J89" i="2"/>
  <c r="O89" i="2" s="1"/>
  <c r="I89" i="2"/>
  <c r="N89" i="2" s="1"/>
  <c r="F89" i="2"/>
  <c r="E89" i="2"/>
  <c r="J88" i="2"/>
  <c r="O88" i="2" s="1"/>
  <c r="I88" i="2"/>
  <c r="N88" i="2" s="1"/>
  <c r="F88" i="2"/>
  <c r="E88" i="2"/>
  <c r="J87" i="2"/>
  <c r="O87" i="2" s="1"/>
  <c r="I87" i="2"/>
  <c r="N87" i="2" s="1"/>
  <c r="F87" i="2"/>
  <c r="E87" i="2"/>
  <c r="J86" i="2"/>
  <c r="O86" i="2" s="1"/>
  <c r="I86" i="2"/>
  <c r="N86" i="2" s="1"/>
  <c r="F86" i="2"/>
  <c r="E86" i="2"/>
  <c r="J85" i="2"/>
  <c r="O85" i="2" s="1"/>
  <c r="I85" i="2"/>
  <c r="N85" i="2" s="1"/>
  <c r="F85" i="2"/>
  <c r="E85" i="2"/>
  <c r="J84" i="2"/>
  <c r="O84" i="2" s="1"/>
  <c r="I84" i="2"/>
  <c r="N84" i="2" s="1"/>
  <c r="F84" i="2"/>
  <c r="E84" i="2"/>
  <c r="J83" i="2"/>
  <c r="O83" i="2" s="1"/>
  <c r="I83" i="2"/>
  <c r="N83" i="2" s="1"/>
  <c r="F83" i="2"/>
  <c r="E83" i="2"/>
  <c r="J82" i="2"/>
  <c r="O82" i="2" s="1"/>
  <c r="I82" i="2"/>
  <c r="F82" i="2"/>
  <c r="E82" i="2"/>
  <c r="J81" i="2"/>
  <c r="O81" i="2" s="1"/>
  <c r="I81" i="2"/>
  <c r="F81" i="2"/>
  <c r="E81" i="2"/>
  <c r="J80" i="2"/>
  <c r="O80" i="2" s="1"/>
  <c r="I80" i="2"/>
  <c r="F80" i="2"/>
  <c r="E80" i="2"/>
  <c r="J79" i="2"/>
  <c r="O79" i="2" s="1"/>
  <c r="I79" i="2"/>
  <c r="F79" i="2"/>
  <c r="E79" i="2"/>
  <c r="J78" i="2"/>
  <c r="O78" i="2" s="1"/>
  <c r="I78" i="2"/>
  <c r="K78" i="2" s="1"/>
  <c r="F78" i="2"/>
  <c r="E78" i="2"/>
  <c r="J77" i="2"/>
  <c r="O77" i="2" s="1"/>
  <c r="I77" i="2"/>
  <c r="F77" i="2"/>
  <c r="E77" i="2"/>
  <c r="J76" i="2"/>
  <c r="O76" i="2" s="1"/>
  <c r="I76" i="2"/>
  <c r="F76" i="2"/>
  <c r="E76" i="2"/>
  <c r="J75" i="2"/>
  <c r="O75" i="2" s="1"/>
  <c r="I75" i="2"/>
  <c r="K75" i="2" s="1"/>
  <c r="F75" i="2"/>
  <c r="E75" i="2"/>
  <c r="J74" i="2"/>
  <c r="O74" i="2" s="1"/>
  <c r="I74" i="2"/>
  <c r="K74" i="2" s="1"/>
  <c r="F74" i="2"/>
  <c r="E74" i="2"/>
  <c r="J73" i="2"/>
  <c r="O73" i="2" s="1"/>
  <c r="I73" i="2"/>
  <c r="F73" i="2"/>
  <c r="E73" i="2"/>
  <c r="J72" i="2"/>
  <c r="O72" i="2" s="1"/>
  <c r="I72" i="2"/>
  <c r="M72" i="2" s="1"/>
  <c r="F72" i="2"/>
  <c r="E72" i="2"/>
  <c r="J71" i="2"/>
  <c r="O71" i="2" s="1"/>
  <c r="I71" i="2"/>
  <c r="F71" i="2"/>
  <c r="E71" i="2"/>
  <c r="J70" i="2"/>
  <c r="O70" i="2" s="1"/>
  <c r="I70" i="2"/>
  <c r="F70" i="2"/>
  <c r="E70" i="2"/>
  <c r="J69" i="2"/>
  <c r="O69" i="2" s="1"/>
  <c r="I69" i="2"/>
  <c r="N69" i="2" s="1"/>
  <c r="F69" i="2"/>
  <c r="E69" i="2"/>
  <c r="J68" i="2"/>
  <c r="O68" i="2" s="1"/>
  <c r="I68" i="2"/>
  <c r="F68" i="2"/>
  <c r="E68" i="2"/>
  <c r="J67" i="2"/>
  <c r="O67" i="2" s="1"/>
  <c r="I67" i="2"/>
  <c r="F67" i="2"/>
  <c r="E67" i="2"/>
  <c r="J66" i="2"/>
  <c r="O66" i="2" s="1"/>
  <c r="I66" i="2"/>
  <c r="F66" i="2"/>
  <c r="E66" i="2"/>
  <c r="J65" i="2"/>
  <c r="O65" i="2" s="1"/>
  <c r="I65" i="2"/>
  <c r="N65" i="2" s="1"/>
  <c r="F65" i="2"/>
  <c r="E65" i="2"/>
  <c r="J64" i="2"/>
  <c r="O64" i="2" s="1"/>
  <c r="I64" i="2"/>
  <c r="F64" i="2"/>
  <c r="E64" i="2"/>
  <c r="J63" i="2"/>
  <c r="O63" i="2" s="1"/>
  <c r="I63" i="2"/>
  <c r="F63" i="2"/>
  <c r="E63" i="2"/>
  <c r="M71" i="2"/>
  <c r="J62" i="2"/>
  <c r="I62" i="2"/>
  <c r="N62" i="2" s="1"/>
  <c r="F62" i="2"/>
  <c r="E62" i="2"/>
  <c r="J61" i="2"/>
  <c r="I61" i="2"/>
  <c r="N61" i="2" s="1"/>
  <c r="F61" i="2"/>
  <c r="E61" i="2"/>
  <c r="J60" i="2"/>
  <c r="O60" i="2" s="1"/>
  <c r="I60" i="2"/>
  <c r="N60" i="2" s="1"/>
  <c r="F60" i="2"/>
  <c r="E60" i="2"/>
  <c r="J59" i="2"/>
  <c r="O59" i="2" s="1"/>
  <c r="I59" i="2"/>
  <c r="N59" i="2" s="1"/>
  <c r="F59" i="2"/>
  <c r="E59" i="2"/>
  <c r="J58" i="2"/>
  <c r="O58" i="2" s="1"/>
  <c r="I58" i="2"/>
  <c r="N58" i="2" s="1"/>
  <c r="F58" i="2"/>
  <c r="E58" i="2"/>
  <c r="J57" i="2"/>
  <c r="O57" i="2" s="1"/>
  <c r="I57" i="2"/>
  <c r="N57" i="2" s="1"/>
  <c r="F57" i="2"/>
  <c r="E57" i="2"/>
  <c r="J56" i="2"/>
  <c r="O56" i="2" s="1"/>
  <c r="I56" i="2"/>
  <c r="N56" i="2" s="1"/>
  <c r="F56" i="2"/>
  <c r="E56" i="2"/>
  <c r="J55" i="2"/>
  <c r="O55" i="2" s="1"/>
  <c r="I55" i="2"/>
  <c r="N55" i="2" s="1"/>
  <c r="F55" i="2"/>
  <c r="E55" i="2"/>
  <c r="J54" i="2"/>
  <c r="O54" i="2" s="1"/>
  <c r="I54" i="2"/>
  <c r="N54" i="2" s="1"/>
  <c r="F54" i="2"/>
  <c r="E54" i="2"/>
  <c r="J53" i="2"/>
  <c r="O53" i="2" s="1"/>
  <c r="I53" i="2"/>
  <c r="N53" i="2" s="1"/>
  <c r="F53" i="2"/>
  <c r="E53" i="2"/>
  <c r="J52" i="2"/>
  <c r="O52" i="2" s="1"/>
  <c r="I52" i="2"/>
  <c r="N52" i="2" s="1"/>
  <c r="F52" i="2"/>
  <c r="E52" i="2"/>
  <c r="J51" i="2"/>
  <c r="O51" i="2" s="1"/>
  <c r="I51" i="2"/>
  <c r="N51" i="2" s="1"/>
  <c r="F51" i="2"/>
  <c r="E51" i="2"/>
  <c r="J50" i="2"/>
  <c r="O50" i="2" s="1"/>
  <c r="I50" i="2"/>
  <c r="N50" i="2" s="1"/>
  <c r="F50" i="2"/>
  <c r="E50" i="2"/>
  <c r="J49" i="2"/>
  <c r="O49" i="2" s="1"/>
  <c r="I49" i="2"/>
  <c r="N49" i="2" s="1"/>
  <c r="F49" i="2"/>
  <c r="E49" i="2"/>
  <c r="J48" i="2"/>
  <c r="O48" i="2" s="1"/>
  <c r="I48" i="2"/>
  <c r="N48" i="2" s="1"/>
  <c r="F48" i="2"/>
  <c r="E48" i="2"/>
  <c r="J47" i="2"/>
  <c r="O47" i="2" s="1"/>
  <c r="I47" i="2"/>
  <c r="N47" i="2" s="1"/>
  <c r="F47" i="2"/>
  <c r="E47" i="2"/>
  <c r="J46" i="2"/>
  <c r="O46" i="2" s="1"/>
  <c r="I46" i="2"/>
  <c r="N46" i="2" s="1"/>
  <c r="F46" i="2"/>
  <c r="E46" i="2"/>
  <c r="J45" i="2"/>
  <c r="O45" i="2" s="1"/>
  <c r="I45" i="2"/>
  <c r="N45" i="2" s="1"/>
  <c r="F45" i="2"/>
  <c r="E45" i="2"/>
  <c r="J44" i="2"/>
  <c r="O44" i="2" s="1"/>
  <c r="I44" i="2"/>
  <c r="N44" i="2" s="1"/>
  <c r="F44" i="2"/>
  <c r="E44" i="2"/>
  <c r="J43" i="2"/>
  <c r="O43" i="2" s="1"/>
  <c r="I43" i="2"/>
  <c r="N43" i="2" s="1"/>
  <c r="F43" i="2"/>
  <c r="E43" i="2"/>
  <c r="J42" i="2"/>
  <c r="O42" i="2" s="1"/>
  <c r="I42" i="2"/>
  <c r="F42" i="2"/>
  <c r="E42" i="2"/>
  <c r="J41" i="2"/>
  <c r="O41" i="2" s="1"/>
  <c r="I41" i="2"/>
  <c r="F41" i="2"/>
  <c r="E41" i="2"/>
  <c r="J40" i="2"/>
  <c r="O40" i="2" s="1"/>
  <c r="I40" i="2"/>
  <c r="F40" i="2"/>
  <c r="E40" i="2"/>
  <c r="J39" i="2"/>
  <c r="O39" i="2" s="1"/>
  <c r="I39" i="2"/>
  <c r="F39" i="2"/>
  <c r="E39" i="2"/>
  <c r="J38" i="2"/>
  <c r="O38" i="2" s="1"/>
  <c r="I38" i="2"/>
  <c r="F38" i="2"/>
  <c r="E38" i="2"/>
  <c r="J37" i="2"/>
  <c r="O37" i="2" s="1"/>
  <c r="I37" i="2"/>
  <c r="F37" i="2"/>
  <c r="E37" i="2"/>
  <c r="J36" i="2"/>
  <c r="O36" i="2" s="1"/>
  <c r="I36" i="2"/>
  <c r="M36" i="2" s="1"/>
  <c r="F36" i="2"/>
  <c r="E36" i="2"/>
  <c r="J35" i="2"/>
  <c r="O35" i="2" s="1"/>
  <c r="I35" i="2"/>
  <c r="F35" i="2"/>
  <c r="E35" i="2"/>
  <c r="J34" i="2"/>
  <c r="O34" i="2" s="1"/>
  <c r="I34" i="2"/>
  <c r="F34" i="2"/>
  <c r="E34" i="2"/>
  <c r="J33" i="2"/>
  <c r="O33" i="2" s="1"/>
  <c r="I33" i="2"/>
  <c r="F33" i="2"/>
  <c r="E33" i="2"/>
  <c r="J32" i="2"/>
  <c r="O32" i="2" s="1"/>
  <c r="I32" i="2"/>
  <c r="F32" i="2"/>
  <c r="E32" i="2"/>
  <c r="J31" i="2"/>
  <c r="O31" i="2" s="1"/>
  <c r="I31" i="2"/>
  <c r="F31" i="2"/>
  <c r="E31" i="2"/>
  <c r="J30" i="2"/>
  <c r="O30" i="2" s="1"/>
  <c r="I30" i="2"/>
  <c r="K30" i="2" s="1"/>
  <c r="F30" i="2"/>
  <c r="E30" i="2"/>
  <c r="J29" i="2"/>
  <c r="O29" i="2" s="1"/>
  <c r="I29" i="2"/>
  <c r="F29" i="2"/>
  <c r="E29" i="2"/>
  <c r="J28" i="2"/>
  <c r="O28" i="2" s="1"/>
  <c r="I28" i="2"/>
  <c r="F28" i="2"/>
  <c r="E28" i="2"/>
  <c r="J27" i="2"/>
  <c r="O27" i="2" s="1"/>
  <c r="I27" i="2"/>
  <c r="F27" i="2"/>
  <c r="E27" i="2"/>
  <c r="J26" i="2"/>
  <c r="O26" i="2" s="1"/>
  <c r="I26" i="2"/>
  <c r="F26" i="2"/>
  <c r="E26" i="2"/>
  <c r="J25" i="2"/>
  <c r="O25" i="2" s="1"/>
  <c r="I25" i="2"/>
  <c r="F25" i="2"/>
  <c r="E25" i="2"/>
  <c r="J24" i="2"/>
  <c r="O24" i="2" s="1"/>
  <c r="I24" i="2"/>
  <c r="F24" i="2"/>
  <c r="E24" i="2"/>
  <c r="J23" i="2"/>
  <c r="O23" i="2" s="1"/>
  <c r="I23" i="2"/>
  <c r="F23" i="2"/>
  <c r="E23" i="2"/>
  <c r="J22" i="2"/>
  <c r="O22" i="2" s="1"/>
  <c r="I22" i="2"/>
  <c r="N22" i="2" s="1"/>
  <c r="F22" i="2"/>
  <c r="E22" i="2"/>
  <c r="J21" i="2"/>
  <c r="O21" i="2" s="1"/>
  <c r="I21" i="2"/>
  <c r="N21" i="2" s="1"/>
  <c r="F21" i="2"/>
  <c r="E21" i="2"/>
  <c r="J20" i="2"/>
  <c r="O20" i="2" s="1"/>
  <c r="I20" i="2"/>
  <c r="N20" i="2" s="1"/>
  <c r="F20" i="2"/>
  <c r="E20" i="2"/>
  <c r="J19" i="2"/>
  <c r="O19" i="2" s="1"/>
  <c r="I19" i="2"/>
  <c r="N19" i="2" s="1"/>
  <c r="F19" i="2"/>
  <c r="E19" i="2"/>
  <c r="J18" i="2"/>
  <c r="O18" i="2" s="1"/>
  <c r="I18" i="2"/>
  <c r="N18" i="2" s="1"/>
  <c r="F18" i="2"/>
  <c r="E18" i="2"/>
  <c r="J17" i="2"/>
  <c r="O17" i="2" s="1"/>
  <c r="I17" i="2"/>
  <c r="N17" i="2" s="1"/>
  <c r="F17" i="2"/>
  <c r="E17" i="2"/>
  <c r="J16" i="2"/>
  <c r="O16" i="2" s="1"/>
  <c r="I16" i="2"/>
  <c r="N16" i="2" s="1"/>
  <c r="F16" i="2"/>
  <c r="E16" i="2"/>
  <c r="J15" i="2"/>
  <c r="O15" i="2" s="1"/>
  <c r="I15" i="2"/>
  <c r="N15" i="2" s="1"/>
  <c r="F15" i="2"/>
  <c r="E15" i="2"/>
  <c r="O14" i="2"/>
  <c r="J14" i="2"/>
  <c r="I14" i="2"/>
  <c r="N14" i="2" s="1"/>
  <c r="F14" i="2"/>
  <c r="E14" i="2"/>
  <c r="J13" i="2"/>
  <c r="O13" i="2" s="1"/>
  <c r="I13" i="2"/>
  <c r="N13" i="2" s="1"/>
  <c r="F13" i="2"/>
  <c r="E13" i="2"/>
  <c r="M21" i="2"/>
  <c r="J12" i="2"/>
  <c r="O12" i="2" s="1"/>
  <c r="I12" i="2"/>
  <c r="N12" i="2" s="1"/>
  <c r="F12" i="2"/>
  <c r="E12" i="2"/>
  <c r="J11" i="2"/>
  <c r="O11" i="2" s="1"/>
  <c r="I11" i="2"/>
  <c r="N11" i="2" s="1"/>
  <c r="F11" i="2"/>
  <c r="E11" i="2"/>
  <c r="J10" i="2"/>
  <c r="O10" i="2" s="1"/>
  <c r="I10" i="2"/>
  <c r="N10" i="2" s="1"/>
  <c r="F10" i="2"/>
  <c r="E10" i="2"/>
  <c r="J9" i="2"/>
  <c r="O9" i="2" s="1"/>
  <c r="I9" i="2"/>
  <c r="N9" i="2" s="1"/>
  <c r="F9" i="2"/>
  <c r="E9" i="2"/>
  <c r="J8" i="2"/>
  <c r="O8" i="2" s="1"/>
  <c r="I8" i="2"/>
  <c r="N8" i="2" s="1"/>
  <c r="F8" i="2"/>
  <c r="E8" i="2"/>
  <c r="J7" i="2"/>
  <c r="O7" i="2" s="1"/>
  <c r="I7" i="2"/>
  <c r="N7" i="2" s="1"/>
  <c r="F7" i="2"/>
  <c r="E7" i="2"/>
  <c r="J6" i="2"/>
  <c r="O6" i="2" s="1"/>
  <c r="I6" i="2"/>
  <c r="F6" i="2"/>
  <c r="E6" i="2"/>
  <c r="J5" i="2"/>
  <c r="O5" i="2" s="1"/>
  <c r="I5" i="2"/>
  <c r="F5" i="2"/>
  <c r="E5" i="2"/>
  <c r="J4" i="2"/>
  <c r="O4" i="2" s="1"/>
  <c r="I4" i="2"/>
  <c r="K4" i="2" s="1"/>
  <c r="F4" i="2"/>
  <c r="E4" i="2"/>
  <c r="J3" i="2"/>
  <c r="O3" i="2" s="1"/>
  <c r="I3" i="2"/>
  <c r="K3" i="2" s="1"/>
  <c r="F3" i="2"/>
  <c r="E3" i="2"/>
  <c r="J2" i="2"/>
  <c r="O2" i="2" s="1"/>
  <c r="I2" i="2"/>
  <c r="N2" i="2" s="1"/>
  <c r="F2" i="2"/>
  <c r="E2" i="2"/>
  <c r="J91" i="3"/>
  <c r="O91" i="3" s="1"/>
  <c r="I91" i="3"/>
  <c r="N91" i="3" s="1"/>
  <c r="F91" i="3"/>
  <c r="E91" i="3"/>
  <c r="J90" i="3"/>
  <c r="O90" i="3" s="1"/>
  <c r="I90" i="3"/>
  <c r="N90" i="3" s="1"/>
  <c r="F90" i="3"/>
  <c r="E90" i="3"/>
  <c r="J89" i="3"/>
  <c r="O89" i="3" s="1"/>
  <c r="I89" i="3"/>
  <c r="N89" i="3" s="1"/>
  <c r="F89" i="3"/>
  <c r="E89" i="3"/>
  <c r="J88" i="3"/>
  <c r="O88" i="3" s="1"/>
  <c r="I88" i="3"/>
  <c r="N88" i="3" s="1"/>
  <c r="F88" i="3"/>
  <c r="E88" i="3"/>
  <c r="J87" i="3"/>
  <c r="O87" i="3" s="1"/>
  <c r="I87" i="3"/>
  <c r="N87" i="3" s="1"/>
  <c r="F87" i="3"/>
  <c r="E87" i="3"/>
  <c r="J86" i="3"/>
  <c r="O86" i="3" s="1"/>
  <c r="I86" i="3"/>
  <c r="N86" i="3" s="1"/>
  <c r="F86" i="3"/>
  <c r="E86" i="3"/>
  <c r="J85" i="3"/>
  <c r="O85" i="3" s="1"/>
  <c r="I85" i="3"/>
  <c r="N85" i="3" s="1"/>
  <c r="F85" i="3"/>
  <c r="E85" i="3"/>
  <c r="J84" i="3"/>
  <c r="O84" i="3" s="1"/>
  <c r="I84" i="3"/>
  <c r="N84" i="3" s="1"/>
  <c r="F84" i="3"/>
  <c r="J83" i="3"/>
  <c r="O83" i="3" s="1"/>
  <c r="I83" i="3"/>
  <c r="N83" i="3" s="1"/>
  <c r="F83" i="3"/>
  <c r="E83" i="3"/>
  <c r="J82" i="3"/>
  <c r="O82" i="3" s="1"/>
  <c r="I82" i="3"/>
  <c r="N82" i="3" s="1"/>
  <c r="F82" i="3"/>
  <c r="E82" i="3"/>
  <c r="J81" i="3"/>
  <c r="O81" i="3" s="1"/>
  <c r="I81" i="3"/>
  <c r="N81" i="3" s="1"/>
  <c r="F81" i="3"/>
  <c r="E81" i="3"/>
  <c r="J80" i="3"/>
  <c r="O80" i="3" s="1"/>
  <c r="I80" i="3"/>
  <c r="N80" i="3" s="1"/>
  <c r="F80" i="3"/>
  <c r="J79" i="3"/>
  <c r="O79" i="3" s="1"/>
  <c r="I79" i="3"/>
  <c r="N79" i="3" s="1"/>
  <c r="F79" i="3"/>
  <c r="E79" i="3"/>
  <c r="J78" i="3"/>
  <c r="O78" i="3" s="1"/>
  <c r="I78" i="3"/>
  <c r="N78" i="3" s="1"/>
  <c r="F78" i="3"/>
  <c r="E78" i="3"/>
  <c r="J77" i="3"/>
  <c r="O77" i="3" s="1"/>
  <c r="I77" i="3"/>
  <c r="N77" i="3" s="1"/>
  <c r="F77" i="3"/>
  <c r="J76" i="3"/>
  <c r="O76" i="3" s="1"/>
  <c r="I76" i="3"/>
  <c r="N76" i="3" s="1"/>
  <c r="F76" i="3"/>
  <c r="E76" i="3"/>
  <c r="J75" i="3"/>
  <c r="O75" i="3" s="1"/>
  <c r="I75" i="3"/>
  <c r="N75" i="3" s="1"/>
  <c r="F75" i="3"/>
  <c r="E75" i="3"/>
  <c r="J74" i="3"/>
  <c r="O74" i="3" s="1"/>
  <c r="I74" i="3"/>
  <c r="N74" i="3" s="1"/>
  <c r="F74" i="3"/>
  <c r="J73" i="3"/>
  <c r="O73" i="3" s="1"/>
  <c r="I73" i="3"/>
  <c r="N73" i="3" s="1"/>
  <c r="F73" i="3"/>
  <c r="J72" i="3"/>
  <c r="O72" i="3" s="1"/>
  <c r="I72" i="3"/>
  <c r="M72" i="3" s="1"/>
  <c r="F72" i="3"/>
  <c r="J71" i="3"/>
  <c r="O71" i="3" s="1"/>
  <c r="I71" i="3"/>
  <c r="N71" i="3" s="1"/>
  <c r="F71" i="3"/>
  <c r="E71" i="3"/>
  <c r="J70" i="3"/>
  <c r="I70" i="3"/>
  <c r="N70" i="3" s="1"/>
  <c r="F70" i="3"/>
  <c r="E70" i="3"/>
  <c r="J69" i="3"/>
  <c r="O69" i="3" s="1"/>
  <c r="I69" i="3"/>
  <c r="F69" i="3"/>
  <c r="E69" i="3"/>
  <c r="J68" i="3"/>
  <c r="O68" i="3" s="1"/>
  <c r="I68" i="3"/>
  <c r="N68" i="3" s="1"/>
  <c r="F68" i="3"/>
  <c r="E68" i="3"/>
  <c r="J67" i="3"/>
  <c r="O67" i="3" s="1"/>
  <c r="I67" i="3"/>
  <c r="N67" i="3" s="1"/>
  <c r="F67" i="3"/>
  <c r="E67" i="3"/>
  <c r="J66" i="3"/>
  <c r="I66" i="3"/>
  <c r="N66" i="3" s="1"/>
  <c r="F66" i="3"/>
  <c r="J65" i="3"/>
  <c r="O65" i="3" s="1"/>
  <c r="I65" i="3"/>
  <c r="F65" i="3"/>
  <c r="E65" i="3"/>
  <c r="J64" i="3"/>
  <c r="O64" i="3" s="1"/>
  <c r="I64" i="3"/>
  <c r="F64" i="3"/>
  <c r="E64" i="3"/>
  <c r="J63" i="3"/>
  <c r="O63" i="3" s="1"/>
  <c r="I63" i="3"/>
  <c r="N63" i="3" s="1"/>
  <c r="F63" i="3"/>
  <c r="J62" i="3"/>
  <c r="O62" i="3" s="1"/>
  <c r="I62" i="3"/>
  <c r="N62" i="3" s="1"/>
  <c r="F62" i="3"/>
  <c r="J61" i="3"/>
  <c r="I61" i="3"/>
  <c r="N61" i="3" s="1"/>
  <c r="F61" i="3"/>
  <c r="J60" i="3"/>
  <c r="O60" i="3" s="1"/>
  <c r="I60" i="3"/>
  <c r="N60" i="3" s="1"/>
  <c r="F60" i="3"/>
  <c r="E60" i="3"/>
  <c r="J59" i="3"/>
  <c r="O59" i="3" s="1"/>
  <c r="I59" i="3"/>
  <c r="N59" i="3" s="1"/>
  <c r="F59" i="3"/>
  <c r="E59" i="3"/>
  <c r="J58" i="3"/>
  <c r="O58" i="3" s="1"/>
  <c r="I58" i="3"/>
  <c r="N58" i="3" s="1"/>
  <c r="F58" i="3"/>
  <c r="E58" i="3"/>
  <c r="J57" i="3"/>
  <c r="I57" i="3"/>
  <c r="N57" i="3" s="1"/>
  <c r="F57" i="3"/>
  <c r="E57" i="3"/>
  <c r="J56" i="3"/>
  <c r="I56" i="3"/>
  <c r="N56" i="3" s="1"/>
  <c r="F56" i="3"/>
  <c r="E56" i="3"/>
  <c r="J55" i="3"/>
  <c r="O55" i="3" s="1"/>
  <c r="I55" i="3"/>
  <c r="N55" i="3" s="1"/>
  <c r="F55" i="3"/>
  <c r="E55" i="3"/>
  <c r="J54" i="3"/>
  <c r="O54" i="3" s="1"/>
  <c r="I54" i="3"/>
  <c r="N54" i="3" s="1"/>
  <c r="F54" i="3"/>
  <c r="E54" i="3"/>
  <c r="J53" i="3"/>
  <c r="I53" i="3"/>
  <c r="N53" i="3" s="1"/>
  <c r="F53" i="3"/>
  <c r="E53" i="3"/>
  <c r="J52" i="3"/>
  <c r="O52" i="3" s="1"/>
  <c r="I52" i="3"/>
  <c r="N52" i="3" s="1"/>
  <c r="F52" i="3"/>
  <c r="J51" i="3"/>
  <c r="O51" i="3" s="1"/>
  <c r="I51" i="3"/>
  <c r="F51" i="3"/>
  <c r="E51" i="3"/>
  <c r="J50" i="3"/>
  <c r="O50" i="3" s="1"/>
  <c r="I50" i="3"/>
  <c r="F50" i="3"/>
  <c r="E50" i="3"/>
  <c r="J49" i="3"/>
  <c r="O49" i="3" s="1"/>
  <c r="I49" i="3"/>
  <c r="N49" i="3" s="1"/>
  <c r="F49" i="3"/>
  <c r="E49" i="3"/>
  <c r="J48" i="3"/>
  <c r="O48" i="3" s="1"/>
  <c r="I48" i="3"/>
  <c r="N48" i="3" s="1"/>
  <c r="F48" i="3"/>
  <c r="E48" i="3"/>
  <c r="J47" i="3"/>
  <c r="O47" i="3" s="1"/>
  <c r="I47" i="3"/>
  <c r="F47" i="3"/>
  <c r="E47" i="3"/>
  <c r="J46" i="3"/>
  <c r="O46" i="3" s="1"/>
  <c r="I46" i="3"/>
  <c r="M46" i="3" s="1"/>
  <c r="F46" i="3"/>
  <c r="E46" i="3"/>
  <c r="J45" i="3"/>
  <c r="O45" i="3" s="1"/>
  <c r="I45" i="3"/>
  <c r="N45" i="3" s="1"/>
  <c r="F45" i="3"/>
  <c r="E45" i="3"/>
  <c r="J44" i="3"/>
  <c r="O44" i="3" s="1"/>
  <c r="I44" i="3"/>
  <c r="N44" i="3" s="1"/>
  <c r="F44" i="3"/>
  <c r="E44" i="3"/>
  <c r="J43" i="3"/>
  <c r="O43" i="3" s="1"/>
  <c r="I43" i="3"/>
  <c r="N43" i="3" s="1"/>
  <c r="F43" i="3"/>
  <c r="E43" i="3"/>
  <c r="J42" i="3"/>
  <c r="O42" i="3" s="1"/>
  <c r="I42" i="3"/>
  <c r="F42" i="3"/>
  <c r="J41" i="3"/>
  <c r="O41" i="3" s="1"/>
  <c r="I41" i="3"/>
  <c r="N41" i="3" s="1"/>
  <c r="F41" i="3"/>
  <c r="E41" i="3"/>
  <c r="J40" i="3"/>
  <c r="O40" i="3" s="1"/>
  <c r="I40" i="3"/>
  <c r="N40" i="3" s="1"/>
  <c r="F40" i="3"/>
  <c r="E40" i="3"/>
  <c r="J39" i="3"/>
  <c r="O39" i="3" s="1"/>
  <c r="I39" i="3"/>
  <c r="F39" i="3"/>
  <c r="E39" i="3"/>
  <c r="J38" i="3"/>
  <c r="O38" i="3" s="1"/>
  <c r="I38" i="3"/>
  <c r="N38" i="3" s="1"/>
  <c r="F38" i="3"/>
  <c r="E38" i="3"/>
  <c r="J37" i="3"/>
  <c r="O37" i="3" s="1"/>
  <c r="I37" i="3"/>
  <c r="F37" i="3"/>
  <c r="E37" i="3"/>
  <c r="J36" i="3"/>
  <c r="O36" i="3" s="1"/>
  <c r="I36" i="3"/>
  <c r="N36" i="3" s="1"/>
  <c r="F36" i="3"/>
  <c r="E36" i="3"/>
  <c r="J35" i="3"/>
  <c r="O35" i="3" s="1"/>
  <c r="I35" i="3"/>
  <c r="F35" i="3"/>
  <c r="E35" i="3"/>
  <c r="J34" i="3"/>
  <c r="O34" i="3" s="1"/>
  <c r="I34" i="3"/>
  <c r="N34" i="3" s="1"/>
  <c r="F34" i="3"/>
  <c r="E34" i="3"/>
  <c r="J33" i="3"/>
  <c r="O33" i="3" s="1"/>
  <c r="I33" i="3"/>
  <c r="F33" i="3"/>
  <c r="J32" i="3"/>
  <c r="O32" i="3" s="1"/>
  <c r="I32" i="3"/>
  <c r="F32" i="3"/>
  <c r="O31" i="3"/>
  <c r="N30" i="3"/>
  <c r="O29" i="3"/>
  <c r="O28" i="3"/>
  <c r="N28" i="3"/>
  <c r="O27" i="3"/>
  <c r="N27" i="3"/>
  <c r="N26" i="3"/>
  <c r="O25" i="3"/>
  <c r="O24" i="3"/>
  <c r="N24" i="3"/>
  <c r="O23" i="3"/>
  <c r="N23" i="3"/>
  <c r="O22" i="3"/>
  <c r="N22" i="3"/>
  <c r="J21" i="3"/>
  <c r="N21" i="3"/>
  <c r="F21" i="3"/>
  <c r="E21" i="3"/>
  <c r="J20" i="3"/>
  <c r="I20" i="3"/>
  <c r="N20" i="3" s="1"/>
  <c r="F20" i="3"/>
  <c r="E20" i="3"/>
  <c r="J19" i="3"/>
  <c r="O19" i="3" s="1"/>
  <c r="I19" i="3"/>
  <c r="N19" i="3" s="1"/>
  <c r="F19" i="3"/>
  <c r="E19" i="3"/>
  <c r="J18" i="3"/>
  <c r="O18" i="3" s="1"/>
  <c r="I18" i="3"/>
  <c r="N18" i="3" s="1"/>
  <c r="F18" i="3"/>
  <c r="E18" i="3"/>
  <c r="J17" i="3"/>
  <c r="I17" i="3"/>
  <c r="N17" i="3" s="1"/>
  <c r="F17" i="3"/>
  <c r="E17" i="3"/>
  <c r="J16" i="3"/>
  <c r="I16" i="3"/>
  <c r="N16" i="3" s="1"/>
  <c r="F16" i="3"/>
  <c r="E16" i="3"/>
  <c r="J15" i="3"/>
  <c r="K15" i="3" s="1"/>
  <c r="N15" i="3"/>
  <c r="F15" i="3"/>
  <c r="E15" i="3"/>
  <c r="J14" i="3"/>
  <c r="O14" i="3" s="1"/>
  <c r="N14" i="3"/>
  <c r="F14" i="3"/>
  <c r="E14" i="3"/>
  <c r="J13" i="3"/>
  <c r="N13" i="3"/>
  <c r="F13" i="3"/>
  <c r="M15" i="3"/>
  <c r="J12" i="3"/>
  <c r="O12" i="3" s="1"/>
  <c r="N12" i="3"/>
  <c r="F12" i="3"/>
  <c r="J11" i="3"/>
  <c r="O11" i="3" s="1"/>
  <c r="I11" i="3"/>
  <c r="N11" i="3" s="1"/>
  <c r="F11" i="3"/>
  <c r="E11" i="3"/>
  <c r="J10" i="3"/>
  <c r="O10" i="3" s="1"/>
  <c r="I10" i="3"/>
  <c r="F10" i="3"/>
  <c r="E10" i="3"/>
  <c r="J9" i="3"/>
  <c r="O9" i="3" s="1"/>
  <c r="I9" i="3"/>
  <c r="N9" i="3" s="1"/>
  <c r="F9" i="3"/>
  <c r="E9" i="3"/>
  <c r="J8" i="3"/>
  <c r="O8" i="3" s="1"/>
  <c r="I8" i="3"/>
  <c r="N8" i="3" s="1"/>
  <c r="F8" i="3"/>
  <c r="E8" i="3"/>
  <c r="J7" i="3"/>
  <c r="O7" i="3" s="1"/>
  <c r="I7" i="3"/>
  <c r="F7" i="3"/>
  <c r="E7" i="3"/>
  <c r="J6" i="3"/>
  <c r="O6" i="3" s="1"/>
  <c r="I6" i="3"/>
  <c r="F6" i="3"/>
  <c r="E6" i="3"/>
  <c r="J5" i="3"/>
  <c r="O5" i="3" s="1"/>
  <c r="I5" i="3"/>
  <c r="N5" i="3" s="1"/>
  <c r="F5" i="3"/>
  <c r="E5" i="3"/>
  <c r="J4" i="3"/>
  <c r="O4" i="3" s="1"/>
  <c r="I4" i="3"/>
  <c r="N4" i="3" s="1"/>
  <c r="F4" i="3"/>
  <c r="E4" i="3"/>
  <c r="J3" i="3"/>
  <c r="O3" i="3" s="1"/>
  <c r="I3" i="3"/>
  <c r="F3" i="3"/>
  <c r="E3" i="3"/>
  <c r="J2" i="3"/>
  <c r="I2" i="3"/>
  <c r="F2" i="3"/>
  <c r="E2" i="3"/>
  <c r="K79" i="2" l="1"/>
  <c r="K42" i="2"/>
  <c r="K39" i="2"/>
  <c r="K80" i="3"/>
  <c r="K33" i="3"/>
  <c r="K31" i="2"/>
  <c r="K73" i="2"/>
  <c r="K77" i="2"/>
  <c r="K81" i="2"/>
  <c r="K71" i="2"/>
  <c r="K64" i="2"/>
  <c r="K37" i="2"/>
  <c r="K24" i="2"/>
  <c r="K28" i="2"/>
  <c r="M32" i="2"/>
  <c r="M39" i="2"/>
  <c r="K88" i="2"/>
  <c r="K25" i="2"/>
  <c r="K29" i="2"/>
  <c r="K66" i="2"/>
  <c r="N29" i="2"/>
  <c r="K40" i="2"/>
  <c r="K85" i="2"/>
  <c r="M33" i="2"/>
  <c r="K52" i="2"/>
  <c r="M37" i="2"/>
  <c r="K41" i="2"/>
  <c r="M61" i="2"/>
  <c r="K12" i="2"/>
  <c r="K23" i="2"/>
  <c r="K27" i="2"/>
  <c r="K68" i="2"/>
  <c r="K35" i="2"/>
  <c r="K65" i="2"/>
  <c r="M75" i="2"/>
  <c r="K76" i="2"/>
  <c r="K80" i="2"/>
  <c r="M33" i="3"/>
  <c r="K32" i="3"/>
  <c r="M58" i="3"/>
  <c r="K47" i="3"/>
  <c r="K50" i="3"/>
  <c r="K51" i="3"/>
  <c r="K6" i="2"/>
  <c r="K9" i="2"/>
  <c r="K26" i="2"/>
  <c r="K33" i="2"/>
  <c r="K69" i="2"/>
  <c r="K82" i="2"/>
  <c r="K46" i="2"/>
  <c r="M79" i="2"/>
  <c r="K37" i="3"/>
  <c r="K43" i="2"/>
  <c r="M76" i="2"/>
  <c r="N33" i="3"/>
  <c r="K10" i="2"/>
  <c r="K34" i="2"/>
  <c r="M40" i="2"/>
  <c r="K63" i="2"/>
  <c r="K70" i="2"/>
  <c r="M73" i="2"/>
  <c r="K89" i="2"/>
  <c r="K86" i="2"/>
  <c r="M34" i="2"/>
  <c r="K50" i="2"/>
  <c r="K67" i="2"/>
  <c r="K83" i="2"/>
  <c r="N24" i="2"/>
  <c r="K47" i="2"/>
  <c r="M80" i="2"/>
  <c r="M45" i="3"/>
  <c r="K38" i="2"/>
  <c r="K44" i="2"/>
  <c r="M77" i="2"/>
  <c r="K11" i="2"/>
  <c r="N28" i="2"/>
  <c r="M41" i="2"/>
  <c r="M74" i="2"/>
  <c r="K90" i="2"/>
  <c r="K49" i="2"/>
  <c r="M2" i="3"/>
  <c r="K8" i="2"/>
  <c r="M38" i="2"/>
  <c r="K61" i="2"/>
  <c r="N64" i="2"/>
  <c r="K87" i="2"/>
  <c r="M42" i="3"/>
  <c r="K5" i="2"/>
  <c r="M35" i="2"/>
  <c r="K51" i="2"/>
  <c r="O61" i="2"/>
  <c r="K84" i="2"/>
  <c r="N25" i="2"/>
  <c r="K48" i="2"/>
  <c r="N68" i="2"/>
  <c r="M81" i="2"/>
  <c r="M10" i="3"/>
  <c r="K2" i="2"/>
  <c r="M31" i="2"/>
  <c r="K45" i="2"/>
  <c r="M78" i="2"/>
  <c r="K36" i="2"/>
  <c r="K91" i="2"/>
  <c r="K84" i="3"/>
  <c r="K88" i="3"/>
  <c r="N72" i="3"/>
  <c r="K76" i="3"/>
  <c r="K63" i="3"/>
  <c r="M60" i="3"/>
  <c r="K55" i="3"/>
  <c r="K60" i="3"/>
  <c r="M55" i="3"/>
  <c r="K49" i="3"/>
  <c r="K42" i="3"/>
  <c r="M40" i="3"/>
  <c r="M36" i="3"/>
  <c r="N31" i="3"/>
  <c r="O15" i="3"/>
  <c r="K16" i="3"/>
  <c r="M19" i="3"/>
  <c r="M11" i="3"/>
  <c r="K82" i="3"/>
  <c r="K86" i="3"/>
  <c r="K90" i="3"/>
  <c r="K74" i="3"/>
  <c r="K78" i="3"/>
  <c r="K62" i="3"/>
  <c r="K64" i="3"/>
  <c r="K71" i="3"/>
  <c r="N64" i="3"/>
  <c r="K67" i="3"/>
  <c r="K68" i="3"/>
  <c r="K56" i="3"/>
  <c r="K59" i="3"/>
  <c r="K54" i="3"/>
  <c r="O56" i="3"/>
  <c r="M59" i="3"/>
  <c r="K52" i="3"/>
  <c r="M54" i="3"/>
  <c r="K58" i="3"/>
  <c r="M49" i="3"/>
  <c r="K44" i="3"/>
  <c r="N47" i="3"/>
  <c r="M50" i="3"/>
  <c r="K43" i="3"/>
  <c r="K45" i="3"/>
  <c r="K46" i="3"/>
  <c r="K48" i="3"/>
  <c r="M41" i="3"/>
  <c r="M37" i="3"/>
  <c r="K38" i="3"/>
  <c r="K34" i="3"/>
  <c r="N37" i="3"/>
  <c r="K41" i="3"/>
  <c r="K14" i="3"/>
  <c r="O16" i="3"/>
  <c r="K20" i="3"/>
  <c r="K12" i="3"/>
  <c r="M14" i="3"/>
  <c r="K18" i="3"/>
  <c r="O20" i="3"/>
  <c r="M20" i="3"/>
  <c r="M18" i="3"/>
  <c r="K19" i="3"/>
  <c r="K3" i="3"/>
  <c r="K4" i="3"/>
  <c r="K8" i="3"/>
  <c r="N2" i="3"/>
  <c r="K5" i="3"/>
  <c r="K9" i="3"/>
  <c r="K10" i="3"/>
  <c r="K6" i="3"/>
  <c r="K7" i="3"/>
  <c r="M9" i="3"/>
  <c r="K11" i="3"/>
  <c r="N3" i="2"/>
  <c r="N4" i="2"/>
  <c r="N5" i="2"/>
  <c r="N6" i="2"/>
  <c r="N26" i="2"/>
  <c r="N30" i="2"/>
  <c r="K32" i="2"/>
  <c r="N32" i="2"/>
  <c r="N66" i="2"/>
  <c r="N70" i="2"/>
  <c r="K72" i="2"/>
  <c r="N72" i="2"/>
  <c r="M11" i="2"/>
  <c r="M10" i="2"/>
  <c r="M9" i="2"/>
  <c r="M8" i="2"/>
  <c r="M7" i="2"/>
  <c r="K7" i="2"/>
  <c r="K22" i="2"/>
  <c r="N23" i="2"/>
  <c r="N27" i="2"/>
  <c r="N31" i="2"/>
  <c r="M51" i="2"/>
  <c r="M50" i="2"/>
  <c r="M49" i="2"/>
  <c r="M48" i="2"/>
  <c r="M47" i="2"/>
  <c r="M46" i="2"/>
  <c r="M45" i="2"/>
  <c r="M44" i="2"/>
  <c r="M43" i="2"/>
  <c r="M42" i="2"/>
  <c r="N63" i="2"/>
  <c r="N67" i="2"/>
  <c r="N71" i="2"/>
  <c r="M91" i="2"/>
  <c r="M90" i="2"/>
  <c r="M89" i="2"/>
  <c r="M88" i="2"/>
  <c r="M87" i="2"/>
  <c r="M86" i="2"/>
  <c r="M85" i="2"/>
  <c r="M84" i="2"/>
  <c r="M83" i="2"/>
  <c r="M82" i="2"/>
  <c r="M2" i="2"/>
  <c r="M3" i="2"/>
  <c r="M4" i="2"/>
  <c r="M5" i="2"/>
  <c r="M6" i="2"/>
  <c r="O62" i="2"/>
  <c r="K62" i="2"/>
  <c r="K13" i="2"/>
  <c r="K14" i="2"/>
  <c r="K15" i="2"/>
  <c r="K16" i="2"/>
  <c r="K17" i="2"/>
  <c r="K18" i="2"/>
  <c r="K19" i="2"/>
  <c r="K20" i="2"/>
  <c r="K21" i="2"/>
  <c r="N33" i="2"/>
  <c r="N34" i="2"/>
  <c r="N35" i="2"/>
  <c r="N36" i="2"/>
  <c r="N37" i="2"/>
  <c r="N38" i="2"/>
  <c r="N39" i="2"/>
  <c r="N40" i="2"/>
  <c r="N41" i="2"/>
  <c r="K53" i="2"/>
  <c r="K54" i="2"/>
  <c r="K55" i="2"/>
  <c r="K56" i="2"/>
  <c r="K57" i="2"/>
  <c r="K58" i="2"/>
  <c r="K59" i="2"/>
  <c r="K60" i="2"/>
  <c r="N73" i="2"/>
  <c r="N74" i="2"/>
  <c r="N75" i="2"/>
  <c r="N76" i="2"/>
  <c r="N77" i="2"/>
  <c r="N78" i="2"/>
  <c r="N79" i="2"/>
  <c r="N80" i="2"/>
  <c r="N81" i="2"/>
  <c r="M12" i="2"/>
  <c r="M13" i="2"/>
  <c r="M14" i="2"/>
  <c r="M15" i="2"/>
  <c r="M16" i="2"/>
  <c r="M17" i="2"/>
  <c r="M18" i="2"/>
  <c r="M19" i="2"/>
  <c r="M20" i="2"/>
  <c r="N42" i="2"/>
  <c r="M52" i="2"/>
  <c r="M53" i="2"/>
  <c r="M54" i="2"/>
  <c r="M55" i="2"/>
  <c r="M56" i="2"/>
  <c r="M57" i="2"/>
  <c r="M58" i="2"/>
  <c r="M59" i="2"/>
  <c r="M60" i="2"/>
  <c r="N82" i="2"/>
  <c r="M22" i="2"/>
  <c r="M23" i="2"/>
  <c r="M24" i="2"/>
  <c r="M25" i="2"/>
  <c r="M26" i="2"/>
  <c r="M27" i="2"/>
  <c r="M28" i="2"/>
  <c r="M29" i="2"/>
  <c r="M30" i="2"/>
  <c r="M62" i="2"/>
  <c r="M63" i="2"/>
  <c r="M64" i="2"/>
  <c r="M65" i="2"/>
  <c r="M66" i="2"/>
  <c r="M67" i="2"/>
  <c r="M68" i="2"/>
  <c r="M69" i="2"/>
  <c r="M70" i="2"/>
  <c r="O30" i="3"/>
  <c r="N69" i="3"/>
  <c r="K69" i="3"/>
  <c r="O26" i="3"/>
  <c r="M51" i="3"/>
  <c r="N51" i="3"/>
  <c r="O57" i="3"/>
  <c r="K57" i="3"/>
  <c r="K2" i="3"/>
  <c r="O2" i="3"/>
  <c r="O17" i="3"/>
  <c r="K17" i="3"/>
  <c r="N25" i="3"/>
  <c r="K35" i="3"/>
  <c r="N35" i="3"/>
  <c r="M35" i="3"/>
  <c r="O61" i="3"/>
  <c r="K61" i="3"/>
  <c r="O21" i="3"/>
  <c r="K21" i="3"/>
  <c r="O53" i="3"/>
  <c r="K53" i="3"/>
  <c r="O66" i="3"/>
  <c r="K66" i="3"/>
  <c r="N6" i="3"/>
  <c r="N3" i="3"/>
  <c r="N7" i="3"/>
  <c r="O13" i="3"/>
  <c r="K13" i="3"/>
  <c r="N29" i="3"/>
  <c r="K39" i="3"/>
  <c r="N39" i="3"/>
  <c r="M39" i="3"/>
  <c r="N65" i="3"/>
  <c r="K65" i="3"/>
  <c r="O70" i="3"/>
  <c r="K70" i="3"/>
  <c r="M8" i="3"/>
  <c r="M13" i="3"/>
  <c r="M17" i="3"/>
  <c r="M21" i="3"/>
  <c r="N32" i="3"/>
  <c r="M44" i="3"/>
  <c r="M48" i="3"/>
  <c r="M53" i="3"/>
  <c r="M57" i="3"/>
  <c r="M61" i="3"/>
  <c r="K73" i="3"/>
  <c r="K75" i="3"/>
  <c r="K77" i="3"/>
  <c r="K79" i="3"/>
  <c r="K81" i="3"/>
  <c r="K83" i="3"/>
  <c r="K85" i="3"/>
  <c r="K87" i="3"/>
  <c r="K89" i="3"/>
  <c r="K91" i="3"/>
  <c r="N10" i="3"/>
  <c r="M31" i="3"/>
  <c r="M30" i="3"/>
  <c r="M29" i="3"/>
  <c r="M28" i="3"/>
  <c r="M27" i="3"/>
  <c r="M26" i="3"/>
  <c r="M25" i="3"/>
  <c r="M24" i="3"/>
  <c r="M23" i="3"/>
  <c r="M22" i="3"/>
  <c r="M32" i="3"/>
  <c r="N42" i="3"/>
  <c r="N46" i="3"/>
  <c r="N50" i="3"/>
  <c r="M71" i="3"/>
  <c r="M70" i="3"/>
  <c r="M69" i="3"/>
  <c r="M68" i="3"/>
  <c r="M67" i="3"/>
  <c r="M66" i="3"/>
  <c r="M65" i="3"/>
  <c r="M64" i="3"/>
  <c r="M63" i="3"/>
  <c r="M62" i="3"/>
  <c r="M3" i="3"/>
  <c r="M4" i="3"/>
  <c r="M5" i="3"/>
  <c r="M6" i="3"/>
  <c r="M7" i="3"/>
  <c r="M12" i="3"/>
  <c r="M16" i="3"/>
  <c r="M34" i="3"/>
  <c r="K36" i="3"/>
  <c r="M38" i="3"/>
  <c r="K40" i="3"/>
  <c r="M43" i="3"/>
  <c r="M47" i="3"/>
  <c r="M52" i="3"/>
  <c r="M56" i="3"/>
  <c r="K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</calcChain>
</file>

<file path=xl/sharedStrings.xml><?xml version="1.0" encoding="utf-8"?>
<sst xmlns="http://schemas.openxmlformats.org/spreadsheetml/2006/main" count="61" uniqueCount="22">
  <si>
    <t>Channel 1 (VC)</t>
  </si>
  <si>
    <t>Channel 2 (VB)</t>
  </si>
  <si>
    <t>RC (ohm)</t>
  </si>
  <si>
    <t>RB (ohm)</t>
  </si>
  <si>
    <t>IC (A)</t>
  </si>
  <si>
    <t>IB (A)</t>
  </si>
  <si>
    <t>V(Q1C) (Volt)</t>
  </si>
  <si>
    <t>V(Q1B) (Volt)</t>
  </si>
  <si>
    <t>VCE (Volt)</t>
  </si>
  <si>
    <t>|VA| (V)</t>
  </si>
  <si>
    <t>gm = IC/25mV</t>
  </si>
  <si>
    <r>
      <t>r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</rPr>
      <t xml:space="preserve"> = 25mV/IB</t>
    </r>
  </si>
  <si>
    <t>ro=VA/IC</t>
  </si>
  <si>
    <t>V+ (VCC)</t>
  </si>
  <si>
    <t>V- (VE)</t>
  </si>
  <si>
    <t>VBEon (Volt)</t>
  </si>
  <si>
    <t>V+ (VE)</t>
  </si>
  <si>
    <t>V- (VCC)</t>
  </si>
  <si>
    <t>VEC (Volt)</t>
  </si>
  <si>
    <t>VEBon (Volt)</t>
  </si>
  <si>
    <t>160+N67</t>
  </si>
  <si>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Calibri"/>
        <family val="2"/>
        <scheme val="minor"/>
      </rPr>
      <t xml:space="preserve"> = IC/IB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</si>
</sst>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11" fontId="0" fillId="0" borderId="0" xfId="0" applyNumberFormat="1" applyFont="1" applyAlignment="1">
      <alignment horizontal="center"/>
    </xf>
    <xf numFmtId="0" fontId="0" fillId="4" borderId="0" xfId="0" applyFont="1" applyFill="1" applyAlignment="1">
      <alignment horizontal="center"/>
    </xf>
    <xf numFmtId="0" fontId="0" fillId="4" borderId="1" xfId="0" applyFont="1" applyFill="1" applyBorder="1" applyAlignment="1">
      <alignment horizontal="center"/>
    </xf>
    <xf numFmtId="2" fontId="0" fillId="4" borderId="0" xfId="0" applyNumberFormat="1" applyFont="1" applyFill="1" applyAlignment="1">
      <alignment horizontal="center"/>
    </xf>
    <xf numFmtId="164" fontId="0" fillId="4" borderId="0" xfId="0" applyNumberFormat="1" applyFont="1" applyFill="1" applyAlignment="1">
      <alignment horizontal="center"/>
    </xf>
    <xf numFmtId="11" fontId="0" fillId="4" borderId="0" xfId="0" applyNumberFormat="1" applyFont="1" applyFill="1" applyAlignment="1">
      <alignment horizontal="center"/>
    </xf>
    <xf numFmtId="1" fontId="0" fillId="4" borderId="0" xfId="0" applyNumberFormat="1" applyFont="1" applyFill="1" applyAlignment="1">
      <alignment horizontal="center"/>
    </xf>
    <xf numFmtId="1" fontId="0" fillId="4" borderId="1" xfId="0" applyNumberFormat="1" applyFont="1" applyFill="1" applyBorder="1" applyAlignment="1">
      <alignment horizontal="center" vertical="center"/>
    </xf>
    <xf numFmtId="11" fontId="0" fillId="4" borderId="0" xfId="0" applyNumberFormat="1" applyFont="1" applyFill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5" borderId="0" xfId="0" applyFont="1" applyFill="1" applyAlignment="1">
      <alignment horizontal="center"/>
    </xf>
    <xf numFmtId="0" fontId="0" fillId="5" borderId="1" xfId="0" applyFont="1" applyFill="1" applyBorder="1" applyAlignment="1">
      <alignment horizontal="center"/>
    </xf>
    <xf numFmtId="2" fontId="0" fillId="5" borderId="0" xfId="0" applyNumberFormat="1" applyFont="1" applyFill="1" applyAlignment="1">
      <alignment horizontal="center"/>
    </xf>
    <xf numFmtId="164" fontId="0" fillId="5" borderId="0" xfId="0" applyNumberFormat="1" applyFont="1" applyFill="1" applyAlignment="1">
      <alignment horizontal="center"/>
    </xf>
    <xf numFmtId="11" fontId="0" fillId="5" borderId="0" xfId="0" applyNumberFormat="1" applyFont="1" applyFill="1" applyAlignment="1">
      <alignment horizontal="center"/>
    </xf>
    <xf numFmtId="1" fontId="0" fillId="5" borderId="0" xfId="0" applyNumberFormat="1" applyFont="1" applyFill="1" applyAlignment="1">
      <alignment horizontal="center"/>
    </xf>
    <xf numFmtId="1" fontId="0" fillId="5" borderId="1" xfId="0" applyNumberFormat="1" applyFont="1" applyFill="1" applyBorder="1" applyAlignment="1">
      <alignment horizontal="center" vertical="center"/>
    </xf>
    <xf numFmtId="11" fontId="0" fillId="5" borderId="0" xfId="0" applyNumberFormat="1" applyFont="1" applyFill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0" fillId="3" borderId="1" xfId="0" applyFont="1" applyFill="1" applyBorder="1" applyAlignment="1">
      <alignment horizontal="center"/>
    </xf>
    <xf numFmtId="2" fontId="0" fillId="3" borderId="0" xfId="0" applyNumberFormat="1" applyFont="1" applyFill="1" applyAlignment="1">
      <alignment horizontal="center"/>
    </xf>
    <xf numFmtId="164" fontId="0" fillId="3" borderId="0" xfId="0" applyNumberFormat="1" applyFont="1" applyFill="1" applyAlignment="1">
      <alignment horizontal="center"/>
    </xf>
    <xf numFmtId="11" fontId="0" fillId="3" borderId="0" xfId="0" applyNumberFormat="1" applyFont="1" applyFill="1" applyAlignment="1">
      <alignment horizontal="center"/>
    </xf>
    <xf numFmtId="1" fontId="0" fillId="3" borderId="0" xfId="0" applyNumberFormat="1" applyFont="1" applyFill="1" applyAlignment="1">
      <alignment horizontal="center"/>
    </xf>
    <xf numFmtId="1" fontId="0" fillId="3" borderId="1" xfId="0" applyNumberFormat="1" applyFont="1" applyFill="1" applyBorder="1" applyAlignment="1">
      <alignment horizontal="center" vertical="center"/>
    </xf>
    <xf numFmtId="11" fontId="0" fillId="3" borderId="0" xfId="0" applyNumberFormat="1" applyFont="1" applyFill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" xfId="0" applyFont="1" applyFill="1" applyBorder="1" applyAlignment="1">
      <alignment horizontal="center"/>
    </xf>
    <xf numFmtId="2" fontId="0" fillId="2" borderId="0" xfId="0" applyNumberFormat="1" applyFont="1" applyFill="1" applyAlignment="1">
      <alignment horizontal="center"/>
    </xf>
    <xf numFmtId="164" fontId="0" fillId="2" borderId="0" xfId="0" applyNumberFormat="1" applyFont="1" applyFill="1" applyAlignment="1">
      <alignment horizontal="center"/>
    </xf>
    <xf numFmtId="11" fontId="0" fillId="2" borderId="0" xfId="0" applyNumberFormat="1" applyFont="1" applyFill="1" applyAlignment="1">
      <alignment horizontal="center"/>
    </xf>
    <xf numFmtId="1" fontId="0" fillId="2" borderId="0" xfId="0" applyNumberFormat="1" applyFont="1" applyFill="1" applyAlignment="1">
      <alignment horizontal="center"/>
    </xf>
    <xf numFmtId="1" fontId="0" fillId="2" borderId="1" xfId="0" applyNumberFormat="1" applyFont="1" applyFill="1" applyBorder="1" applyAlignment="1">
      <alignment horizontal="center" vertical="center"/>
    </xf>
    <xf numFmtId="11" fontId="0" fillId="2" borderId="0" xfId="0" applyNumberFormat="1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3" fillId="4" borderId="1" xfId="1" applyFont="1" applyFill="1" applyBorder="1" applyAlignment="1" applyProtection="1"/>
    <xf numFmtId="0" fontId="3" fillId="5" borderId="1" xfId="1" applyFont="1" applyFill="1" applyBorder="1" applyAlignment="1" applyProtection="1"/>
    <xf numFmtId="0" fontId="3" fillId="3" borderId="1" xfId="1" applyFont="1" applyFill="1" applyBorder="1" applyAlignment="1" applyProtection="1"/>
    <xf numFmtId="0" fontId="3" fillId="2" borderId="1" xfId="1" applyFont="1" applyFill="1" applyBorder="1" applyAlignment="1" applyProtection="1"/>
    <xf numFmtId="0" fontId="0" fillId="4" borderId="1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08170546742368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1.2-1.4'!$E$2:$E$11</c:f>
              <c:numCache>
                <c:formatCode>0.000</c:formatCode>
                <c:ptCount val="10"/>
                <c:pt idx="0">
                  <c:v>4.9419471692057675</c:v>
                </c:pt>
                <c:pt idx="1">
                  <c:v>5.441647470650337</c:v>
                </c:pt>
                <c:pt idx="2">
                  <c:v>5.9413477720084433</c:v>
                </c:pt>
                <c:pt idx="3">
                  <c:v>6.4410480732761002</c:v>
                </c:pt>
                <c:pt idx="4">
                  <c:v>6.9407483744580798</c:v>
                </c:pt>
                <c:pt idx="5">
                  <c:v>7.4404486755478096</c:v>
                </c:pt>
                <c:pt idx="6">
                  <c:v>7.9401489765510398</c:v>
                </c:pt>
                <c:pt idx="7">
                  <c:v>8.4398492774660294</c:v>
                </c:pt>
                <c:pt idx="8">
                  <c:v>8.9395495782908494</c:v>
                </c:pt>
                <c:pt idx="9">
                  <c:v>9.4392498790272104</c:v>
                </c:pt>
              </c:numCache>
            </c:numRef>
          </c:xVal>
          <c:yVal>
            <c:numRef>
              <c:f>'Steps 1.2-1.4'!$I$2:$I$11</c:f>
              <c:numCache>
                <c:formatCode>0.00E+00</c:formatCode>
                <c:ptCount val="10"/>
                <c:pt idx="0">
                  <c:v>5.5805283079423292E-3</c:v>
                </c:pt>
                <c:pt idx="1">
                  <c:v>5.5835252934966296E-3</c:v>
                </c:pt>
                <c:pt idx="2">
                  <c:v>5.5865222799155699E-3</c:v>
                </c:pt>
                <c:pt idx="3">
                  <c:v>5.5895192672390003E-3</c:v>
                </c:pt>
                <c:pt idx="4">
                  <c:v>5.5925162554192002E-3</c:v>
                </c:pt>
                <c:pt idx="5">
                  <c:v>5.5955132445218991E-3</c:v>
                </c:pt>
                <c:pt idx="6">
                  <c:v>5.5985102344896023E-3</c:v>
                </c:pt>
                <c:pt idx="7">
                  <c:v>5.6015072253397013E-3</c:v>
                </c:pt>
                <c:pt idx="8">
                  <c:v>5.6045042170915016E-3</c:v>
                </c:pt>
                <c:pt idx="9">
                  <c:v>5.6075012097278965E-3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42-4F5B-904B-37210A535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1.2-1.4'!$E$12:$E$21</c:f>
              <c:numCache>
                <c:formatCode>0.000</c:formatCode>
                <c:ptCount val="10"/>
                <c:pt idx="0">
                  <c:v>4.5027908892329878</c:v>
                </c:pt>
                <c:pt idx="1">
                  <c:v>5.0025238851614757</c:v>
                </c:pt>
                <c:pt idx="2">
                  <c:v>5.5022568804329</c:v>
                </c:pt>
                <c:pt idx="3">
                  <c:v>6.0019898750439697</c:v>
                </c:pt>
                <c:pt idx="4">
                  <c:v>6.5017228689900595</c:v>
                </c:pt>
                <c:pt idx="5">
                  <c:v>7.0014558622756402</c:v>
                </c:pt>
                <c:pt idx="6">
                  <c:v>7.5011888548985501</c:v>
                </c:pt>
                <c:pt idx="7">
                  <c:v>8.0009218468566203</c:v>
                </c:pt>
                <c:pt idx="8">
                  <c:v>8.500654838149341</c:v>
                </c:pt>
                <c:pt idx="9">
                  <c:v>9.000387828777999</c:v>
                </c:pt>
              </c:numCache>
            </c:numRef>
          </c:xVal>
          <c:yVal>
            <c:numRef>
              <c:f>'Steps 1.2-1.4'!$I$12:$I$21</c:f>
              <c:numCache>
                <c:formatCode>0.00E+00</c:formatCode>
                <c:ptCount val="10"/>
                <c:pt idx="0">
                  <c:v>4.9720911076701216E-3</c:v>
                </c:pt>
                <c:pt idx="1">
                  <c:v>4.9747611483852401E-3</c:v>
                </c:pt>
                <c:pt idx="2">
                  <c:v>4.9774311956710003E-3</c:v>
                </c:pt>
                <c:pt idx="3">
                  <c:v>4.9801012495603002E-3</c:v>
                </c:pt>
                <c:pt idx="4">
                  <c:v>4.9827713100994006E-3</c:v>
                </c:pt>
                <c:pt idx="5">
                  <c:v>4.9854413772435976E-3</c:v>
                </c:pt>
                <c:pt idx="6">
                  <c:v>4.9881114510144983E-3</c:v>
                </c:pt>
                <c:pt idx="7">
                  <c:v>4.9907815314338012E-3</c:v>
                </c:pt>
                <c:pt idx="8">
                  <c:v>4.9934516185065995E-3</c:v>
                </c:pt>
                <c:pt idx="9">
                  <c:v>4.9961217122200009E-3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07-4DAE-87A0-7FAEFE092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73536140887034"/>
                  <c:y val="-0.10972151909392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1.2'!#REF!</c:f>
            </c:numRef>
          </c:xVal>
          <c:yVal>
            <c:numRef>
              <c:f>'Step 1.2'!#REF!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91-4EA5-9A05-6E62F2D35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04680681700847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1.2-1.4'!$E$22:$E$31</c:f>
              <c:numCache>
                <c:formatCode>0.000</c:formatCode>
                <c:ptCount val="10"/>
                <c:pt idx="0">
                  <c:v>4.0652133694952672</c:v>
                </c:pt>
                <c:pt idx="1">
                  <c:v>4.5649799254488661</c:v>
                </c:pt>
                <c:pt idx="2">
                  <c:v>5.0647464767751398</c:v>
                </c:pt>
                <c:pt idx="3">
                  <c:v>5.5645130234710498</c:v>
                </c:pt>
                <c:pt idx="4">
                  <c:v>6.0642795655334005</c:v>
                </c:pt>
                <c:pt idx="5">
                  <c:v>6.5640461029580894</c:v>
                </c:pt>
                <c:pt idx="6">
                  <c:v>7.0638126936456</c:v>
                </c:pt>
                <c:pt idx="7">
                  <c:v>7.5635792100023806</c:v>
                </c:pt>
                <c:pt idx="8">
                  <c:v>8.0633458009231802</c:v>
                </c:pt>
                <c:pt idx="9">
                  <c:v>8.5631123176207797</c:v>
                </c:pt>
              </c:numCache>
            </c:numRef>
          </c:xVal>
          <c:yVal>
            <c:numRef>
              <c:f>'Steps 1.2-1.4'!$I$22:$I$31</c:f>
              <c:numCache>
                <c:formatCode>0.00E+00</c:formatCode>
                <c:ptCount val="10"/>
                <c:pt idx="0">
                  <c:v>4.3478663050473257E-3</c:v>
                </c:pt>
                <c:pt idx="1">
                  <c:v>4.3502007455113404E-3</c:v>
                </c:pt>
                <c:pt idx="2">
                  <c:v>4.3525352322486E-3</c:v>
                </c:pt>
                <c:pt idx="3">
                  <c:v>4.3548697652894992E-3</c:v>
                </c:pt>
                <c:pt idx="4">
                  <c:v>4.3572043446659988E-3</c:v>
                </c:pt>
                <c:pt idx="5">
                  <c:v>4.3595389704191015E-3</c:v>
                </c:pt>
                <c:pt idx="6">
                  <c:v>4.3618730635439995E-3</c:v>
                </c:pt>
                <c:pt idx="7">
                  <c:v>4.3642078999761979E-3</c:v>
                </c:pt>
                <c:pt idx="8">
                  <c:v>4.3665419907681982E-3</c:v>
                </c:pt>
                <c:pt idx="9">
                  <c:v>4.3688768237922027E-3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D8-4968-AC70-9E9B91D18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08170546742368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1.2-1.4'!$E$2:$E$11</c:f>
              <c:numCache>
                <c:formatCode>0.000</c:formatCode>
                <c:ptCount val="10"/>
                <c:pt idx="0">
                  <c:v>4.9419471692057675</c:v>
                </c:pt>
                <c:pt idx="1">
                  <c:v>5.441647470650337</c:v>
                </c:pt>
                <c:pt idx="2">
                  <c:v>5.9413477720084433</c:v>
                </c:pt>
                <c:pt idx="3">
                  <c:v>6.4410480732761002</c:v>
                </c:pt>
                <c:pt idx="4">
                  <c:v>6.9407483744580798</c:v>
                </c:pt>
                <c:pt idx="5">
                  <c:v>7.4404486755478096</c:v>
                </c:pt>
                <c:pt idx="6">
                  <c:v>7.9401489765510398</c:v>
                </c:pt>
                <c:pt idx="7">
                  <c:v>8.4398492774660294</c:v>
                </c:pt>
                <c:pt idx="8">
                  <c:v>8.9395495782908494</c:v>
                </c:pt>
                <c:pt idx="9">
                  <c:v>9.4392498790272104</c:v>
                </c:pt>
              </c:numCache>
            </c:numRef>
          </c:xVal>
          <c:yVal>
            <c:numRef>
              <c:f>'Steps 1.2-1.4'!$I$2:$I$11</c:f>
              <c:numCache>
                <c:formatCode>0.00E+00</c:formatCode>
                <c:ptCount val="10"/>
                <c:pt idx="0">
                  <c:v>5.5805283079423292E-3</c:v>
                </c:pt>
                <c:pt idx="1">
                  <c:v>5.5835252934966296E-3</c:v>
                </c:pt>
                <c:pt idx="2">
                  <c:v>5.5865222799155699E-3</c:v>
                </c:pt>
                <c:pt idx="3">
                  <c:v>5.5895192672390003E-3</c:v>
                </c:pt>
                <c:pt idx="4">
                  <c:v>5.5925162554192002E-3</c:v>
                </c:pt>
                <c:pt idx="5">
                  <c:v>5.5955132445218991E-3</c:v>
                </c:pt>
                <c:pt idx="6">
                  <c:v>5.5985102344896023E-3</c:v>
                </c:pt>
                <c:pt idx="7">
                  <c:v>5.6015072253397013E-3</c:v>
                </c:pt>
                <c:pt idx="8">
                  <c:v>5.6045042170915016E-3</c:v>
                </c:pt>
                <c:pt idx="9">
                  <c:v>5.6075012097278965E-3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E-4436-89B8-2CAB38174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</a:t>
            </a:r>
            <a:r>
              <a:rPr lang="en-CA" baseline="0"/>
              <a:t> = -4.5V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908947414601689"/>
                  <c:y val="-0.100349100909379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1.2-1.4'!$E$12:$E$21</c:f>
              <c:numCache>
                <c:formatCode>0.000</c:formatCode>
                <c:ptCount val="10"/>
                <c:pt idx="0">
                  <c:v>4.5027908892329878</c:v>
                </c:pt>
                <c:pt idx="1">
                  <c:v>5.0025238851614757</c:v>
                </c:pt>
                <c:pt idx="2">
                  <c:v>5.5022568804329</c:v>
                </c:pt>
                <c:pt idx="3">
                  <c:v>6.0019898750439697</c:v>
                </c:pt>
                <c:pt idx="4">
                  <c:v>6.5017228689900595</c:v>
                </c:pt>
                <c:pt idx="5">
                  <c:v>7.0014558622756402</c:v>
                </c:pt>
                <c:pt idx="6">
                  <c:v>7.5011888548985501</c:v>
                </c:pt>
                <c:pt idx="7">
                  <c:v>8.0009218468566203</c:v>
                </c:pt>
                <c:pt idx="8">
                  <c:v>8.500654838149341</c:v>
                </c:pt>
                <c:pt idx="9">
                  <c:v>9.000387828777999</c:v>
                </c:pt>
              </c:numCache>
            </c:numRef>
          </c:xVal>
          <c:yVal>
            <c:numRef>
              <c:f>'Steps 1.2-1.4'!$I$12:$I$21</c:f>
              <c:numCache>
                <c:formatCode>0.00E+00</c:formatCode>
                <c:ptCount val="10"/>
                <c:pt idx="0">
                  <c:v>4.9720911076701216E-3</c:v>
                </c:pt>
                <c:pt idx="1">
                  <c:v>4.9747611483852401E-3</c:v>
                </c:pt>
                <c:pt idx="2">
                  <c:v>4.9774311956710003E-3</c:v>
                </c:pt>
                <c:pt idx="3">
                  <c:v>4.9801012495603002E-3</c:v>
                </c:pt>
                <c:pt idx="4">
                  <c:v>4.9827713100994006E-3</c:v>
                </c:pt>
                <c:pt idx="5">
                  <c:v>4.9854413772435976E-3</c:v>
                </c:pt>
                <c:pt idx="6">
                  <c:v>4.9881114510144983E-3</c:v>
                </c:pt>
                <c:pt idx="7">
                  <c:v>4.9907815314338012E-3</c:v>
                </c:pt>
                <c:pt idx="8">
                  <c:v>4.9934516185065995E-3</c:v>
                </c:pt>
                <c:pt idx="9">
                  <c:v>4.9961217122200009E-3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B2-4D0A-93F2-E4842C700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2719"/>
        <c:axId val="1283846895"/>
      </c:scatterChart>
      <c:valAx>
        <c:axId val="128385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895"/>
        <c:crosses val="autoZero"/>
        <c:crossBetween val="midCat"/>
      </c:valAx>
      <c:valAx>
        <c:axId val="12838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-4V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084303866864017"/>
                  <c:y val="-0.10807721743067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1.2-1.4'!$E$22:$E$31</c:f>
              <c:numCache>
                <c:formatCode>0.000</c:formatCode>
                <c:ptCount val="10"/>
                <c:pt idx="0">
                  <c:v>4.0652133694952672</c:v>
                </c:pt>
                <c:pt idx="1">
                  <c:v>4.5649799254488661</c:v>
                </c:pt>
                <c:pt idx="2">
                  <c:v>5.0647464767751398</c:v>
                </c:pt>
                <c:pt idx="3">
                  <c:v>5.5645130234710498</c:v>
                </c:pt>
                <c:pt idx="4">
                  <c:v>6.0642795655334005</c:v>
                </c:pt>
                <c:pt idx="5">
                  <c:v>6.5640461029580894</c:v>
                </c:pt>
                <c:pt idx="6">
                  <c:v>7.0638126936456</c:v>
                </c:pt>
                <c:pt idx="7">
                  <c:v>7.5635792100023806</c:v>
                </c:pt>
                <c:pt idx="8">
                  <c:v>8.0633458009231802</c:v>
                </c:pt>
                <c:pt idx="9">
                  <c:v>8.5631123176207797</c:v>
                </c:pt>
              </c:numCache>
            </c:numRef>
          </c:xVal>
          <c:yVal>
            <c:numRef>
              <c:f>'Steps 1.2-1.4'!$I$22:$I$31</c:f>
              <c:numCache>
                <c:formatCode>0.00E+00</c:formatCode>
                <c:ptCount val="10"/>
                <c:pt idx="0">
                  <c:v>4.3478663050473257E-3</c:v>
                </c:pt>
                <c:pt idx="1">
                  <c:v>4.3502007455113404E-3</c:v>
                </c:pt>
                <c:pt idx="2">
                  <c:v>4.3525352322486E-3</c:v>
                </c:pt>
                <c:pt idx="3">
                  <c:v>4.3548697652894992E-3</c:v>
                </c:pt>
                <c:pt idx="4">
                  <c:v>4.3572043446659988E-3</c:v>
                </c:pt>
                <c:pt idx="5">
                  <c:v>4.3595389704191015E-3</c:v>
                </c:pt>
                <c:pt idx="6">
                  <c:v>4.3618730635439995E-3</c:v>
                </c:pt>
                <c:pt idx="7">
                  <c:v>4.3642078999761979E-3</c:v>
                </c:pt>
                <c:pt idx="8">
                  <c:v>4.3665419907681982E-3</c:v>
                </c:pt>
                <c:pt idx="9">
                  <c:v>4.3688768237922027E-3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7-479A-8AEA-E9D169D81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46063"/>
        <c:axId val="1283856047"/>
      </c:scatterChart>
      <c:valAx>
        <c:axId val="128384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047"/>
        <c:crosses val="autoZero"/>
        <c:crossBetween val="midCat"/>
      </c:valAx>
      <c:valAx>
        <c:axId val="12838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1.2-1.4'!$E$32:$E$41</c:f>
              <c:numCache>
                <c:formatCode>0.000</c:formatCode>
                <c:ptCount val="10"/>
                <c:pt idx="0">
                  <c:v>3.6292534508698768</c:v>
                </c:pt>
                <c:pt idx="1">
                  <c:v>4.1290544587645028</c:v>
                </c:pt>
                <c:pt idx="2">
                  <c:v>4.6288554367339305</c:v>
                </c:pt>
                <c:pt idx="3">
                  <c:v>5.1286564445945197</c:v>
                </c:pt>
                <c:pt idx="4">
                  <c:v>5.6284574224269202</c:v>
                </c:pt>
                <c:pt idx="5">
                  <c:v>6.1282584304216403</c:v>
                </c:pt>
                <c:pt idx="6">
                  <c:v>6.6280594083589399</c:v>
                </c:pt>
                <c:pt idx="7">
                  <c:v>7.1278604162484802</c:v>
                </c:pt>
                <c:pt idx="8">
                  <c:v>7.6276613940493103</c:v>
                </c:pt>
                <c:pt idx="9">
                  <c:v>8.1274624020732311</c:v>
                </c:pt>
              </c:numCache>
            </c:numRef>
          </c:xVal>
          <c:yVal>
            <c:numRef>
              <c:f>'Steps 1.2-1.4'!$I$32:$I$41</c:f>
              <c:numCache>
                <c:formatCode>0.00E+00</c:formatCode>
                <c:ptCount val="10"/>
                <c:pt idx="0">
                  <c:v>3.7074654913012302E-3</c:v>
                </c:pt>
                <c:pt idx="1">
                  <c:v>3.7094554123549696E-3</c:v>
                </c:pt>
                <c:pt idx="2">
                  <c:v>3.7114456326606993E-3</c:v>
                </c:pt>
                <c:pt idx="3">
                  <c:v>3.7134355540548005E-3</c:v>
                </c:pt>
                <c:pt idx="4">
                  <c:v>3.7154257757307987E-3</c:v>
                </c:pt>
                <c:pt idx="5">
                  <c:v>3.7174156957836013E-3</c:v>
                </c:pt>
                <c:pt idx="6">
                  <c:v>3.7194059164106009E-3</c:v>
                </c:pt>
                <c:pt idx="7">
                  <c:v>3.721395837515198E-3</c:v>
                </c:pt>
                <c:pt idx="8">
                  <c:v>3.7233860595068968E-3</c:v>
                </c:pt>
                <c:pt idx="9">
                  <c:v>3.7253759792676977E-3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96-4560-BE84-E019E0B45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-3V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2187364778658687"/>
                  <c:y val="-0.134268970518429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1.2-1.4'!$E$42:$E$51</c:f>
              <c:numCache>
                <c:formatCode>0.000</c:formatCode>
                <c:ptCount val="10"/>
                <c:pt idx="0">
                  <c:v>3.194887534262862</c:v>
                </c:pt>
                <c:pt idx="1">
                  <c:v>3.6947238297456328</c:v>
                </c:pt>
                <c:pt idx="2">
                  <c:v>4.1945601252264204</c:v>
                </c:pt>
                <c:pt idx="3">
                  <c:v>4.6943964207071103</c:v>
                </c:pt>
                <c:pt idx="4">
                  <c:v>5.1942327161869795</c:v>
                </c:pt>
                <c:pt idx="5">
                  <c:v>5.6940690116684998</c:v>
                </c:pt>
                <c:pt idx="6">
                  <c:v>6.1939053071459602</c:v>
                </c:pt>
                <c:pt idx="7">
                  <c:v>6.69374160262484</c:v>
                </c:pt>
                <c:pt idx="8">
                  <c:v>7.1935778981030696</c:v>
                </c:pt>
                <c:pt idx="9">
                  <c:v>7.6934141935801597</c:v>
                </c:pt>
              </c:numCache>
            </c:numRef>
          </c:xVal>
          <c:yVal>
            <c:numRef>
              <c:f>'Steps 1.2-1.4'!$I$42:$I$51</c:f>
              <c:numCache>
                <c:formatCode>0.00E+00</c:formatCode>
                <c:ptCount val="10"/>
                <c:pt idx="0">
                  <c:v>3.0511246573713801E-3</c:v>
                </c:pt>
                <c:pt idx="1">
                  <c:v>3.0527617025436706E-3</c:v>
                </c:pt>
                <c:pt idx="2">
                  <c:v>3.0543987477358002E-3</c:v>
                </c:pt>
                <c:pt idx="3">
                  <c:v>3.0560357929288995E-3</c:v>
                </c:pt>
                <c:pt idx="4">
                  <c:v>3.0576728381302011E-3</c:v>
                </c:pt>
                <c:pt idx="5">
                  <c:v>3.059309883314998E-3</c:v>
                </c:pt>
                <c:pt idx="6">
                  <c:v>3.0609469285403979E-3</c:v>
                </c:pt>
                <c:pt idx="7">
                  <c:v>3.0625839737516004E-3</c:v>
                </c:pt>
                <c:pt idx="8">
                  <c:v>3.0642210189693042E-3</c:v>
                </c:pt>
                <c:pt idx="9">
                  <c:v>3.0658580641984034E-3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E-43F1-940D-7FE556E9B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53663"/>
        <c:axId val="1778956991"/>
      </c:scatterChart>
      <c:valAx>
        <c:axId val="1778953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6991"/>
        <c:crosses val="autoZero"/>
        <c:crossBetween val="midCat"/>
      </c:valAx>
      <c:valAx>
        <c:axId val="177895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73536140887034"/>
                  <c:y val="-0.10972151909392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1.2-1.4'!$E$52:$E$61</c:f>
              <c:numCache>
                <c:formatCode>0.000</c:formatCode>
                <c:ptCount val="10"/>
                <c:pt idx="0">
                  <c:v>2.7619528645991278</c:v>
                </c:pt>
                <c:pt idx="1">
                  <c:v>3.2618252304203499</c:v>
                </c:pt>
                <c:pt idx="2">
                  <c:v>3.7616975962319099</c:v>
                </c:pt>
                <c:pt idx="3">
                  <c:v>4.2615699620326302</c:v>
                </c:pt>
                <c:pt idx="4">
                  <c:v>4.7614423278242501</c:v>
                </c:pt>
                <c:pt idx="5">
                  <c:v>5.2613146936065593</c:v>
                </c:pt>
                <c:pt idx="6">
                  <c:v>5.7611870593787202</c:v>
                </c:pt>
                <c:pt idx="7">
                  <c:v>6.2610594251404201</c:v>
                </c:pt>
                <c:pt idx="8">
                  <c:v>6.7609317908932098</c:v>
                </c:pt>
                <c:pt idx="9">
                  <c:v>7.2608041566366701</c:v>
                </c:pt>
              </c:numCache>
            </c:numRef>
          </c:xVal>
          <c:yVal>
            <c:numRef>
              <c:f>'Steps 1.2-1.4'!$I$52:$I$61</c:f>
              <c:numCache>
                <c:formatCode>0.00E+00</c:formatCode>
                <c:ptCount val="10"/>
                <c:pt idx="0">
                  <c:v>2.3804713540087202E-3</c:v>
                </c:pt>
                <c:pt idx="1">
                  <c:v>2.3817476957964999E-3</c:v>
                </c:pt>
                <c:pt idx="2">
                  <c:v>2.383024037680901E-3</c:v>
                </c:pt>
                <c:pt idx="3">
                  <c:v>2.3843003796737007E-3</c:v>
                </c:pt>
                <c:pt idx="4">
                  <c:v>2.3855767217574987E-3</c:v>
                </c:pt>
                <c:pt idx="5">
                  <c:v>2.386853063934402E-3</c:v>
                </c:pt>
                <c:pt idx="6">
                  <c:v>2.3881294062127979E-3</c:v>
                </c:pt>
                <c:pt idx="7">
                  <c:v>2.3894057485957989E-3</c:v>
                </c:pt>
                <c:pt idx="8">
                  <c:v>2.3906820910679018E-3</c:v>
                </c:pt>
                <c:pt idx="9">
                  <c:v>2.391958433633299E-3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38-4780-904A-E19627B64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04680681700847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1.2-1.4'!$E$62:$E$71</c:f>
              <c:numCache>
                <c:formatCode>0.000</c:formatCode>
                <c:ptCount val="10"/>
                <c:pt idx="0">
                  <c:v>2.3299608854373481</c:v>
                </c:pt>
                <c:pt idx="1">
                  <c:v>2.8298698138027962</c:v>
                </c:pt>
                <c:pt idx="2">
                  <c:v>3.32977874224924</c:v>
                </c:pt>
                <c:pt idx="3">
                  <c:v>3.82968767077727</c:v>
                </c:pt>
                <c:pt idx="4">
                  <c:v>4.3295965993892001</c:v>
                </c:pt>
                <c:pt idx="5">
                  <c:v>4.82950552742279</c:v>
                </c:pt>
                <c:pt idx="6">
                  <c:v>5.3294144561886405</c:v>
                </c:pt>
                <c:pt idx="7">
                  <c:v>5.8293233842317704</c:v>
                </c:pt>
                <c:pt idx="8">
                  <c:v>6.3292323130052104</c:v>
                </c:pt>
                <c:pt idx="9">
                  <c:v>6.8291412410376804</c:v>
                </c:pt>
              </c:numCache>
            </c:numRef>
          </c:xVal>
          <c:yVal>
            <c:numRef>
              <c:f>'Steps 1.2-1.4'!$I$62:$I$71</c:f>
              <c:numCache>
                <c:formatCode>0.00E+00</c:formatCode>
                <c:ptCount val="10"/>
                <c:pt idx="0">
                  <c:v>1.7003911456265203E-3</c:v>
                </c:pt>
                <c:pt idx="1">
                  <c:v>1.7013018619720399E-3</c:v>
                </c:pt>
                <c:pt idx="2">
                  <c:v>1.7022125775076002E-3</c:v>
                </c:pt>
                <c:pt idx="3">
                  <c:v>1.7031232922272998E-3</c:v>
                </c:pt>
                <c:pt idx="4">
                  <c:v>1.7040340061079994E-3</c:v>
                </c:pt>
                <c:pt idx="5">
                  <c:v>1.7049447257720994E-3</c:v>
                </c:pt>
                <c:pt idx="6">
                  <c:v>1.7058554381135993E-3</c:v>
                </c:pt>
                <c:pt idx="7">
                  <c:v>1.7067661576823001E-3</c:v>
                </c:pt>
                <c:pt idx="8">
                  <c:v>1.707676869947896E-3</c:v>
                </c:pt>
                <c:pt idx="9">
                  <c:v>1.7085875896231961E-3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25-460D-8374-415024CAA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-1.5V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2243072595593362"/>
                  <c:y val="-0.121511302878861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1.2-1.4'!$E$72:$E$81</c:f>
              <c:numCache>
                <c:formatCode>0.000</c:formatCode>
                <c:ptCount val="10"/>
                <c:pt idx="0">
                  <c:v>1.8975582955244441</c:v>
                </c:pt>
                <c:pt idx="1">
                  <c:v>2.3975035296684819</c:v>
                </c:pt>
                <c:pt idx="2">
                  <c:v>2.89744876381247</c:v>
                </c:pt>
                <c:pt idx="3">
                  <c:v>3.3973939979568799</c:v>
                </c:pt>
                <c:pt idx="4">
                  <c:v>3.8973392321005602</c:v>
                </c:pt>
                <c:pt idx="5">
                  <c:v>4.3972844662441002</c:v>
                </c:pt>
                <c:pt idx="6">
                  <c:v>4.8972297003872001</c:v>
                </c:pt>
                <c:pt idx="7">
                  <c:v>5.3971749345309199</c:v>
                </c:pt>
                <c:pt idx="8">
                  <c:v>5.8971201686734602</c:v>
                </c:pt>
                <c:pt idx="9">
                  <c:v>6.3970654028166098</c:v>
                </c:pt>
              </c:numCache>
            </c:numRef>
          </c:xVal>
          <c:yVal>
            <c:numRef>
              <c:f>'Steps 1.2-1.4'!$I$72:$I$81</c:f>
              <c:numCache>
                <c:formatCode>0.00E+00</c:formatCode>
                <c:ptCount val="10"/>
                <c:pt idx="0">
                  <c:v>1.0244170447555601E-3</c:v>
                </c:pt>
                <c:pt idx="1">
                  <c:v>1.0249647033151799E-3</c:v>
                </c:pt>
                <c:pt idx="2">
                  <c:v>1.0255123618753005E-3</c:v>
                </c:pt>
                <c:pt idx="3">
                  <c:v>1.0260600204312009E-3</c:v>
                </c:pt>
                <c:pt idx="4">
                  <c:v>1.0266076789943979E-3</c:v>
                </c:pt>
                <c:pt idx="5">
                  <c:v>1.0271553375589982E-3</c:v>
                </c:pt>
                <c:pt idx="6">
                  <c:v>1.0277029961279992E-3</c:v>
                </c:pt>
                <c:pt idx="7">
                  <c:v>1.028250654690801E-3</c:v>
                </c:pt>
                <c:pt idx="8">
                  <c:v>1.0287983132653978E-3</c:v>
                </c:pt>
                <c:pt idx="9">
                  <c:v>1.0293459718339016E-3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6F-4976-8888-7B211CEE2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6463"/>
        <c:axId val="1283841903"/>
      </c:scatterChart>
      <c:valAx>
        <c:axId val="1283856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1903"/>
        <c:crosses val="autoZero"/>
        <c:crossBetween val="midCat"/>
      </c:valAx>
      <c:valAx>
        <c:axId val="12838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-1V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4056973025160279"/>
                  <c:y val="-0.10807721743067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1.2-1.4'!$E$82:$E$91</c:f>
              <c:numCache>
                <c:formatCode>0.000</c:formatCode>
                <c:ptCount val="10"/>
                <c:pt idx="0">
                  <c:v>1.460429885744446</c:v>
                </c:pt>
                <c:pt idx="1">
                  <c:v>1.9604088119234921</c:v>
                </c:pt>
                <c:pt idx="2">
                  <c:v>2.46038773810209</c:v>
                </c:pt>
                <c:pt idx="3">
                  <c:v>2.9603666642805599</c:v>
                </c:pt>
                <c:pt idx="4">
                  <c:v>3.4603455904585498</c:v>
                </c:pt>
                <c:pt idx="5">
                  <c:v>3.9603245166362901</c:v>
                </c:pt>
                <c:pt idx="6">
                  <c:v>4.4603034428136201</c:v>
                </c:pt>
                <c:pt idx="7">
                  <c:v>4.9602823689905602</c:v>
                </c:pt>
                <c:pt idx="8">
                  <c:v>5.4602612951671903</c:v>
                </c:pt>
                <c:pt idx="9">
                  <c:v>5.9602402213437102</c:v>
                </c:pt>
              </c:numCache>
            </c:numRef>
          </c:xVal>
          <c:yVal>
            <c:numRef>
              <c:f>'Steps 1.2-1.4'!$I$82:$I$91</c:f>
              <c:numCache>
                <c:formatCode>0.00E+00</c:formatCode>
                <c:ptCount val="10"/>
                <c:pt idx="0">
                  <c:v>3.9570114255554011E-4</c:v>
                </c:pt>
                <c:pt idx="1">
                  <c:v>3.9591188076507967E-4</c:v>
                </c:pt>
                <c:pt idx="2">
                  <c:v>3.9612261897910007E-4</c:v>
                </c:pt>
                <c:pt idx="3">
                  <c:v>3.9633335719440054E-4</c:v>
                </c:pt>
                <c:pt idx="4">
                  <c:v>3.9654409541450163E-4</c:v>
                </c:pt>
                <c:pt idx="5">
                  <c:v>3.9675483363709851E-4</c:v>
                </c:pt>
                <c:pt idx="6">
                  <c:v>3.9696557186379877E-4</c:v>
                </c:pt>
                <c:pt idx="7">
                  <c:v>3.9717631009439814E-4</c:v>
                </c:pt>
                <c:pt idx="8">
                  <c:v>3.9738704832809724E-4</c:v>
                </c:pt>
                <c:pt idx="9">
                  <c:v>3.9759778656289768E-4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F2-4D2B-86A2-806AB73D3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551"/>
        <c:axId val="1283843151"/>
      </c:scatterChart>
      <c:valAx>
        <c:axId val="1283853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3151"/>
        <c:crosses val="autoZero"/>
        <c:crossBetween val="midCat"/>
      </c:valAx>
      <c:valAx>
        <c:axId val="12838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96967517464817"/>
                  <c:y val="-0.122126549818518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1.8'!$E$2:$E$11</c:f>
              <c:numCache>
                <c:formatCode>General</c:formatCode>
                <c:ptCount val="10"/>
                <c:pt idx="0">
                  <c:v>4.2512000000000008</c:v>
                </c:pt>
                <c:pt idx="1">
                  <c:v>4.7408000000000001</c:v>
                </c:pt>
                <c:pt idx="2">
                  <c:v>5.2271999999999998</c:v>
                </c:pt>
                <c:pt idx="3">
                  <c:v>5.7127999999999997</c:v>
                </c:pt>
                <c:pt idx="4">
                  <c:v>6.2</c:v>
                </c:pt>
                <c:pt idx="5">
                  <c:v>6.67919999999999</c:v>
                </c:pt>
                <c:pt idx="6">
                  <c:v>7.1616</c:v>
                </c:pt>
                <c:pt idx="7">
                  <c:v>7.63919999999999</c:v>
                </c:pt>
                <c:pt idx="8">
                  <c:v>8.1155999999999899</c:v>
                </c:pt>
                <c:pt idx="9">
                  <c:v>8.59</c:v>
                </c:pt>
              </c:numCache>
            </c:numRef>
          </c:xVal>
          <c:yVal>
            <c:numRef>
              <c:f>'Step 1.8'!$I$2:$I$11</c:f>
              <c:numCache>
                <c:formatCode>0.00E+00</c:formatCode>
                <c:ptCount val="10"/>
                <c:pt idx="0">
                  <c:v>1.248799999999999E-2</c:v>
                </c:pt>
                <c:pt idx="1">
                  <c:v>1.2591999999999999E-2</c:v>
                </c:pt>
                <c:pt idx="2">
                  <c:v>1.2728E-2</c:v>
                </c:pt>
                <c:pt idx="3">
                  <c:v>1.2872E-2</c:v>
                </c:pt>
                <c:pt idx="4">
                  <c:v>1.3000000000000001E-2</c:v>
                </c:pt>
                <c:pt idx="5">
                  <c:v>1.32080000000001E-2</c:v>
                </c:pt>
                <c:pt idx="6">
                  <c:v>1.3384E-2</c:v>
                </c:pt>
                <c:pt idx="7">
                  <c:v>1.3608000000000099E-2</c:v>
                </c:pt>
                <c:pt idx="8">
                  <c:v>1.3844000000000101E-2</c:v>
                </c:pt>
                <c:pt idx="9">
                  <c:v>1.4100000000000001E-2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71-49B9-A8BC-22FCF9402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1.8'!$E$12:$E$21</c:f>
              <c:numCache>
                <c:formatCode>General</c:formatCode>
                <c:ptCount val="10"/>
                <c:pt idx="2">
                  <c:v>4.8415999999999997</c:v>
                </c:pt>
                <c:pt idx="3">
                  <c:v>5.3388</c:v>
                </c:pt>
                <c:pt idx="4">
                  <c:v>5.8380000000000001</c:v>
                </c:pt>
                <c:pt idx="5">
                  <c:v>6.3311999999999999</c:v>
                </c:pt>
                <c:pt idx="6">
                  <c:v>6.8191999999999897</c:v>
                </c:pt>
                <c:pt idx="7">
                  <c:v>7.3068</c:v>
                </c:pt>
                <c:pt idx="8">
                  <c:v>7.7919999999999998</c:v>
                </c:pt>
                <c:pt idx="9">
                  <c:v>8.274799999999999</c:v>
                </c:pt>
              </c:numCache>
            </c:numRef>
          </c:xVal>
          <c:yVal>
            <c:numRef>
              <c:f>'Step 1.8'!$I$12:$I$21</c:f>
              <c:numCache>
                <c:formatCode>0.00E+00</c:formatCode>
                <c:ptCount val="10"/>
                <c:pt idx="0">
                  <c:v>1.1779999999999999E-2</c:v>
                </c:pt>
                <c:pt idx="1">
                  <c:v>1.1639999999999999E-2</c:v>
                </c:pt>
                <c:pt idx="2">
                  <c:v>1.1583999999999999E-2</c:v>
                </c:pt>
                <c:pt idx="3">
                  <c:v>1.1612000000000001E-2</c:v>
                </c:pt>
                <c:pt idx="4">
                  <c:v>1.1619999999999998E-2</c:v>
                </c:pt>
                <c:pt idx="5">
                  <c:v>1.1688E-2</c:v>
                </c:pt>
                <c:pt idx="6">
                  <c:v>1.1808000000000098E-2</c:v>
                </c:pt>
                <c:pt idx="7">
                  <c:v>1.1932E-2</c:v>
                </c:pt>
                <c:pt idx="8">
                  <c:v>1.2080000000000002E-2</c:v>
                </c:pt>
                <c:pt idx="9">
                  <c:v>1.2252000000000001E-2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69-4B25-857B-98E277CEC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73536140887034"/>
                  <c:y val="-0.10972151909392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1.5'!#REF!</c:f>
            </c:numRef>
          </c:xVal>
          <c:yVal>
            <c:numRef>
              <c:f>'Step 1.5'!#REF!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3-46F3-B74D-9972899D3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04680681700847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1.8'!$E$22:$E$31</c:f>
              <c:numCache>
                <c:formatCode>General</c:formatCode>
                <c:ptCount val="10"/>
                <c:pt idx="3">
                  <c:v>5.00999999999999</c:v>
                </c:pt>
                <c:pt idx="4">
                  <c:v>5.51</c:v>
                </c:pt>
                <c:pt idx="5">
                  <c:v>6.0084</c:v>
                </c:pt>
                <c:pt idx="6">
                  <c:v>6.5</c:v>
                </c:pt>
                <c:pt idx="7">
                  <c:v>6.992</c:v>
                </c:pt>
                <c:pt idx="8">
                  <c:v>7.4803999999999995</c:v>
                </c:pt>
                <c:pt idx="9">
                  <c:v>7.968</c:v>
                </c:pt>
              </c:numCache>
            </c:numRef>
          </c:xVal>
          <c:yVal>
            <c:numRef>
              <c:f>'Step 1.8'!$I$22:$I$31</c:f>
              <c:numCache>
                <c:formatCode>0.00E+00</c:formatCode>
                <c:ptCount val="10"/>
                <c:pt idx="0">
                  <c:v>1.0091999999999999E-2</c:v>
                </c:pt>
                <c:pt idx="1">
                  <c:v>9.9880000000000004E-3</c:v>
                </c:pt>
                <c:pt idx="2">
                  <c:v>9.9240000000000092E-3</c:v>
                </c:pt>
                <c:pt idx="3">
                  <c:v>9.9000000000000997E-3</c:v>
                </c:pt>
                <c:pt idx="4">
                  <c:v>9.8999999999999991E-3</c:v>
                </c:pt>
                <c:pt idx="5">
                  <c:v>9.9160000000000012E-3</c:v>
                </c:pt>
                <c:pt idx="6">
                  <c:v>0.01</c:v>
                </c:pt>
                <c:pt idx="7">
                  <c:v>1.008E-2</c:v>
                </c:pt>
                <c:pt idx="8">
                  <c:v>1.0196E-2</c:v>
                </c:pt>
                <c:pt idx="9">
                  <c:v>1.0320000000000001E-2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DA-4D42-AC57-24C3EC051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96967517464817"/>
                  <c:y val="-0.122126549818518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1.8'!$E$2:$E$11</c:f>
              <c:numCache>
                <c:formatCode>General</c:formatCode>
                <c:ptCount val="10"/>
                <c:pt idx="0">
                  <c:v>4.2512000000000008</c:v>
                </c:pt>
                <c:pt idx="1">
                  <c:v>4.7408000000000001</c:v>
                </c:pt>
                <c:pt idx="2">
                  <c:v>5.2271999999999998</c:v>
                </c:pt>
                <c:pt idx="3">
                  <c:v>5.7127999999999997</c:v>
                </c:pt>
                <c:pt idx="4">
                  <c:v>6.2</c:v>
                </c:pt>
                <c:pt idx="5">
                  <c:v>6.67919999999999</c:v>
                </c:pt>
                <c:pt idx="6">
                  <c:v>7.1616</c:v>
                </c:pt>
                <c:pt idx="7">
                  <c:v>7.63919999999999</c:v>
                </c:pt>
                <c:pt idx="8">
                  <c:v>8.1155999999999899</c:v>
                </c:pt>
                <c:pt idx="9">
                  <c:v>8.59</c:v>
                </c:pt>
              </c:numCache>
            </c:numRef>
          </c:xVal>
          <c:yVal>
            <c:numRef>
              <c:f>'Step 1.8'!$I$2:$I$11</c:f>
              <c:numCache>
                <c:formatCode>0.00E+00</c:formatCode>
                <c:ptCount val="10"/>
                <c:pt idx="0">
                  <c:v>1.248799999999999E-2</c:v>
                </c:pt>
                <c:pt idx="1">
                  <c:v>1.2591999999999999E-2</c:v>
                </c:pt>
                <c:pt idx="2">
                  <c:v>1.2728E-2</c:v>
                </c:pt>
                <c:pt idx="3">
                  <c:v>1.2872E-2</c:v>
                </c:pt>
                <c:pt idx="4">
                  <c:v>1.3000000000000001E-2</c:v>
                </c:pt>
                <c:pt idx="5">
                  <c:v>1.32080000000001E-2</c:v>
                </c:pt>
                <c:pt idx="6">
                  <c:v>1.3384E-2</c:v>
                </c:pt>
                <c:pt idx="7">
                  <c:v>1.3608000000000099E-2</c:v>
                </c:pt>
                <c:pt idx="8">
                  <c:v>1.3844000000000101E-2</c:v>
                </c:pt>
                <c:pt idx="9">
                  <c:v>1.4100000000000001E-2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4-42F5-9FDC-60B9C7A34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</a:t>
            </a:r>
            <a:r>
              <a:rPr lang="en-CA" baseline="0"/>
              <a:t> = -4.5V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821658872222895"/>
                  <c:y val="-0.106999140731075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1.8'!$E$12:$E$21</c:f>
              <c:numCache>
                <c:formatCode>General</c:formatCode>
                <c:ptCount val="10"/>
                <c:pt idx="2">
                  <c:v>4.8415999999999997</c:v>
                </c:pt>
                <c:pt idx="3">
                  <c:v>5.3388</c:v>
                </c:pt>
                <c:pt idx="4">
                  <c:v>5.8380000000000001</c:v>
                </c:pt>
                <c:pt idx="5">
                  <c:v>6.3311999999999999</c:v>
                </c:pt>
                <c:pt idx="6">
                  <c:v>6.8191999999999897</c:v>
                </c:pt>
                <c:pt idx="7">
                  <c:v>7.3068</c:v>
                </c:pt>
                <c:pt idx="8">
                  <c:v>7.7919999999999998</c:v>
                </c:pt>
                <c:pt idx="9">
                  <c:v>8.274799999999999</c:v>
                </c:pt>
              </c:numCache>
            </c:numRef>
          </c:xVal>
          <c:yVal>
            <c:numRef>
              <c:f>'Step 1.8'!$I$12:$I$21</c:f>
              <c:numCache>
                <c:formatCode>0.00E+00</c:formatCode>
                <c:ptCount val="10"/>
                <c:pt idx="0">
                  <c:v>1.1779999999999999E-2</c:v>
                </c:pt>
                <c:pt idx="1">
                  <c:v>1.1639999999999999E-2</c:v>
                </c:pt>
                <c:pt idx="2">
                  <c:v>1.1583999999999999E-2</c:v>
                </c:pt>
                <c:pt idx="3">
                  <c:v>1.1612000000000001E-2</c:v>
                </c:pt>
                <c:pt idx="4">
                  <c:v>1.1619999999999998E-2</c:v>
                </c:pt>
                <c:pt idx="5">
                  <c:v>1.1688E-2</c:v>
                </c:pt>
                <c:pt idx="6">
                  <c:v>1.1808000000000098E-2</c:v>
                </c:pt>
                <c:pt idx="7">
                  <c:v>1.1932E-2</c:v>
                </c:pt>
                <c:pt idx="8">
                  <c:v>1.2080000000000002E-2</c:v>
                </c:pt>
                <c:pt idx="9">
                  <c:v>1.2252000000000001E-2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4F-4505-940C-9AFD10D23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2719"/>
        <c:axId val="1283846895"/>
      </c:scatterChart>
      <c:valAx>
        <c:axId val="128385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895"/>
        <c:crosses val="autoZero"/>
        <c:crossBetween val="midCat"/>
      </c:valAx>
      <c:valAx>
        <c:axId val="12838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-4V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787016647850181"/>
                  <c:y val="-0.128228345602955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1.8'!$E$22:$E$31</c:f>
              <c:numCache>
                <c:formatCode>General</c:formatCode>
                <c:ptCount val="10"/>
                <c:pt idx="3">
                  <c:v>5.00999999999999</c:v>
                </c:pt>
                <c:pt idx="4">
                  <c:v>5.51</c:v>
                </c:pt>
                <c:pt idx="5">
                  <c:v>6.0084</c:v>
                </c:pt>
                <c:pt idx="6">
                  <c:v>6.5</c:v>
                </c:pt>
                <c:pt idx="7">
                  <c:v>6.992</c:v>
                </c:pt>
                <c:pt idx="8">
                  <c:v>7.4803999999999995</c:v>
                </c:pt>
                <c:pt idx="9">
                  <c:v>7.968</c:v>
                </c:pt>
              </c:numCache>
            </c:numRef>
          </c:xVal>
          <c:yVal>
            <c:numRef>
              <c:f>'Step 1.8'!$I$22:$I$31</c:f>
              <c:numCache>
                <c:formatCode>0.00E+00</c:formatCode>
                <c:ptCount val="10"/>
                <c:pt idx="0">
                  <c:v>1.0091999999999999E-2</c:v>
                </c:pt>
                <c:pt idx="1">
                  <c:v>9.9880000000000004E-3</c:v>
                </c:pt>
                <c:pt idx="2">
                  <c:v>9.9240000000000092E-3</c:v>
                </c:pt>
                <c:pt idx="3">
                  <c:v>9.9000000000000997E-3</c:v>
                </c:pt>
                <c:pt idx="4">
                  <c:v>9.8999999999999991E-3</c:v>
                </c:pt>
                <c:pt idx="5">
                  <c:v>9.9160000000000012E-3</c:v>
                </c:pt>
                <c:pt idx="6">
                  <c:v>0.01</c:v>
                </c:pt>
                <c:pt idx="7">
                  <c:v>1.008E-2</c:v>
                </c:pt>
                <c:pt idx="8">
                  <c:v>1.0196E-2</c:v>
                </c:pt>
                <c:pt idx="9">
                  <c:v>1.0320000000000001E-2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4A-4512-B209-AED428733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46063"/>
        <c:axId val="1283856047"/>
      </c:scatterChart>
      <c:valAx>
        <c:axId val="128384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047"/>
        <c:crosses val="autoZero"/>
        <c:crossBetween val="midCat"/>
      </c:valAx>
      <c:valAx>
        <c:axId val="12838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1.8'!$E$32:$E$41</c:f>
              <c:numCache>
                <c:formatCode>General</c:formatCode>
                <c:ptCount val="10"/>
                <c:pt idx="2">
                  <c:v>4.1844000000000001</c:v>
                </c:pt>
                <c:pt idx="3">
                  <c:v>4.6832000000000003</c:v>
                </c:pt>
                <c:pt idx="4">
                  <c:v>5.18</c:v>
                </c:pt>
                <c:pt idx="5">
                  <c:v>5.68</c:v>
                </c:pt>
                <c:pt idx="6">
                  <c:v>6.1752000000000002</c:v>
                </c:pt>
                <c:pt idx="7">
                  <c:v>6.6668000000000003</c:v>
                </c:pt>
                <c:pt idx="8">
                  <c:v>7.1612</c:v>
                </c:pt>
                <c:pt idx="9">
                  <c:v>7.6539999999999999</c:v>
                </c:pt>
              </c:numCache>
            </c:numRef>
          </c:xVal>
          <c:yVal>
            <c:numRef>
              <c:f>'Step 1.8'!$I$32:$I$41</c:f>
              <c:numCache>
                <c:formatCode>0.00E+00</c:formatCode>
                <c:ptCount val="10"/>
                <c:pt idx="0">
                  <c:v>8.291999999999999E-3</c:v>
                </c:pt>
                <c:pt idx="1">
                  <c:v>8.2040000000000099E-3</c:v>
                </c:pt>
                <c:pt idx="2">
                  <c:v>8.1560000000000001E-3</c:v>
                </c:pt>
                <c:pt idx="3">
                  <c:v>8.1679999999999999E-3</c:v>
                </c:pt>
                <c:pt idx="4">
                  <c:v>8.2000000000000007E-3</c:v>
                </c:pt>
                <c:pt idx="5">
                  <c:v>8.199999999999999E-3</c:v>
                </c:pt>
                <c:pt idx="6">
                  <c:v>8.2480000000000019E-3</c:v>
                </c:pt>
                <c:pt idx="7">
                  <c:v>8.3320000000000009E-3</c:v>
                </c:pt>
                <c:pt idx="8">
                  <c:v>8.3879999999999996E-3</c:v>
                </c:pt>
                <c:pt idx="9">
                  <c:v>8.4600000000000005E-3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63-4BA5-A02C-CE6549FC9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-3V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3195106428838744"/>
                  <c:y val="-0.167685837247755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1.8'!$E$42:$E$51</c:f>
              <c:numCache>
                <c:formatCode>General</c:formatCode>
                <c:ptCount val="10"/>
                <c:pt idx="1">
                  <c:v>3.3464</c:v>
                </c:pt>
                <c:pt idx="2">
                  <c:v>3.8468</c:v>
                </c:pt>
                <c:pt idx="3">
                  <c:v>4.3460000000000001</c:v>
                </c:pt>
                <c:pt idx="4">
                  <c:v>4.8436000000000003</c:v>
                </c:pt>
                <c:pt idx="5">
                  <c:v>5.3415999999999997</c:v>
                </c:pt>
                <c:pt idx="6">
                  <c:v>5.84</c:v>
                </c:pt>
                <c:pt idx="7">
                  <c:v>6.3344000000000005</c:v>
                </c:pt>
                <c:pt idx="8">
                  <c:v>6.8296000000000001</c:v>
                </c:pt>
                <c:pt idx="9">
                  <c:v>7.3255999999999997</c:v>
                </c:pt>
              </c:numCache>
            </c:numRef>
          </c:xVal>
          <c:yVal>
            <c:numRef>
              <c:f>'Step 1.8'!$I$42:$I$51</c:f>
              <c:numCache>
                <c:formatCode>0.00E+00</c:formatCode>
                <c:ptCount val="10"/>
                <c:pt idx="0">
                  <c:v>6.6039999999999996E-3</c:v>
                </c:pt>
                <c:pt idx="1">
                  <c:v>6.5359999999999993E-3</c:v>
                </c:pt>
                <c:pt idx="2">
                  <c:v>6.5319999999999996E-3</c:v>
                </c:pt>
                <c:pt idx="3">
                  <c:v>6.5399999999999989E-3</c:v>
                </c:pt>
                <c:pt idx="4">
                  <c:v>6.5640000000000013E-3</c:v>
                </c:pt>
                <c:pt idx="5">
                  <c:v>6.5839999999999987E-3</c:v>
                </c:pt>
                <c:pt idx="6">
                  <c:v>6.6000000000000017E-3</c:v>
                </c:pt>
                <c:pt idx="7">
                  <c:v>6.6559999999999996E-3</c:v>
                </c:pt>
                <c:pt idx="8">
                  <c:v>6.703999999999999E-3</c:v>
                </c:pt>
                <c:pt idx="9">
                  <c:v>6.7440000000000035E-3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5D-4D34-9F5B-A8D5FD104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53663"/>
        <c:axId val="1778956991"/>
      </c:scatterChart>
      <c:valAx>
        <c:axId val="1778953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6991"/>
        <c:crosses val="autoZero"/>
        <c:crossBetween val="midCat"/>
      </c:valAx>
      <c:valAx>
        <c:axId val="177895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73536140887034"/>
                  <c:y val="-0.10972151909392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1.8'!$E$52:$E$61</c:f>
              <c:numCache>
                <c:formatCode>General</c:formatCode>
                <c:ptCount val="10"/>
                <c:pt idx="1">
                  <c:v>3.0015999999999998</c:v>
                </c:pt>
                <c:pt idx="2">
                  <c:v>3.5015999999999901</c:v>
                </c:pt>
                <c:pt idx="3">
                  <c:v>4.0011999999999901</c:v>
                </c:pt>
                <c:pt idx="4">
                  <c:v>4.5</c:v>
                </c:pt>
                <c:pt idx="5">
                  <c:v>4.9980000000000002</c:v>
                </c:pt>
                <c:pt idx="6">
                  <c:v>5.4947999999999997</c:v>
                </c:pt>
                <c:pt idx="7">
                  <c:v>5.9939999999999998</c:v>
                </c:pt>
                <c:pt idx="8">
                  <c:v>6.49</c:v>
                </c:pt>
              </c:numCache>
            </c:numRef>
          </c:xVal>
          <c:yVal>
            <c:numRef>
              <c:f>'Step 1.8'!$I$52:$I$61</c:f>
              <c:numCache>
                <c:formatCode>0.00E+00</c:formatCode>
                <c:ptCount val="10"/>
                <c:pt idx="0">
                  <c:v>5.0400000000000002E-3</c:v>
                </c:pt>
                <c:pt idx="1">
                  <c:v>4.9839999999999997E-3</c:v>
                </c:pt>
                <c:pt idx="2">
                  <c:v>4.9840000000000995E-3</c:v>
                </c:pt>
                <c:pt idx="3">
                  <c:v>4.9880000000000991E-3</c:v>
                </c:pt>
                <c:pt idx="4">
                  <c:v>5.0000000000000001E-3</c:v>
                </c:pt>
                <c:pt idx="5">
                  <c:v>5.0199999999999976E-3</c:v>
                </c:pt>
                <c:pt idx="6">
                  <c:v>5.0519999999999983E-3</c:v>
                </c:pt>
                <c:pt idx="7">
                  <c:v>5.0599999999999977E-3</c:v>
                </c:pt>
                <c:pt idx="8">
                  <c:v>5.0999999999999978E-3</c:v>
                </c:pt>
                <c:pt idx="9">
                  <c:v>5.2280000000000017E-3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AD-4AC7-89EA-9C3B53C64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04680681700847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1.8'!$E$62:$E$71</c:f>
              <c:numCache>
                <c:formatCode>General</c:formatCode>
                <c:ptCount val="10"/>
                <c:pt idx="2">
                  <c:v>3.1459999999999999</c:v>
                </c:pt>
                <c:pt idx="3">
                  <c:v>3.6459999999999999</c:v>
                </c:pt>
                <c:pt idx="5">
                  <c:v>4.6419999999999995</c:v>
                </c:pt>
                <c:pt idx="6">
                  <c:v>5.1383999999999999</c:v>
                </c:pt>
                <c:pt idx="7">
                  <c:v>5.6399999999999899</c:v>
                </c:pt>
                <c:pt idx="8">
                  <c:v>6.1379999999999999</c:v>
                </c:pt>
                <c:pt idx="9">
                  <c:v>6.6360000000000001</c:v>
                </c:pt>
              </c:numCache>
            </c:numRef>
          </c:xVal>
          <c:yVal>
            <c:numRef>
              <c:f>'Step 1.8'!$I$62:$I$71</c:f>
              <c:numCache>
                <c:formatCode>0.00E+00</c:formatCode>
                <c:ptCount val="10"/>
                <c:pt idx="0">
                  <c:v>3.5799999999999998E-3</c:v>
                </c:pt>
                <c:pt idx="1">
                  <c:v>3.5479999999999999E-3</c:v>
                </c:pt>
                <c:pt idx="2">
                  <c:v>3.540000000000001E-3</c:v>
                </c:pt>
                <c:pt idx="3">
                  <c:v>3.540000000000001E-3</c:v>
                </c:pt>
                <c:pt idx="4">
                  <c:v>3.540000000000001E-3</c:v>
                </c:pt>
                <c:pt idx="5">
                  <c:v>3.5800000000000012E-3</c:v>
                </c:pt>
                <c:pt idx="6">
                  <c:v>3.6160000000000016E-3</c:v>
                </c:pt>
                <c:pt idx="7">
                  <c:v>3.6000000000001009E-3</c:v>
                </c:pt>
                <c:pt idx="8">
                  <c:v>3.6200000000000008E-3</c:v>
                </c:pt>
                <c:pt idx="9">
                  <c:v>3.6399999999999987E-3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31-473F-9A8A-4AA91EDE2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-1.5V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084054988716853"/>
                  <c:y val="-0.29698106323845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1.8'!$E$72:$E$81</c:f>
              <c:numCache>
                <c:formatCode>General</c:formatCode>
                <c:ptCount val="10"/>
                <c:pt idx="1">
                  <c:v>2.2843999999999998</c:v>
                </c:pt>
                <c:pt idx="3">
                  <c:v>3.2827999999999999</c:v>
                </c:pt>
                <c:pt idx="4">
                  <c:v>3.782</c:v>
                </c:pt>
                <c:pt idx="6">
                  <c:v>4.7799999999999994</c:v>
                </c:pt>
                <c:pt idx="7">
                  <c:v>5.2799999999999994</c:v>
                </c:pt>
                <c:pt idx="9">
                  <c:v>6.2796000000000003</c:v>
                </c:pt>
              </c:numCache>
            </c:numRef>
          </c:xVal>
          <c:yVal>
            <c:numRef>
              <c:f>'Step 1.8'!$I$72:$I$81</c:f>
              <c:numCache>
                <c:formatCode>0.00E+00</c:formatCode>
                <c:ptCount val="10"/>
                <c:pt idx="0">
                  <c:v>2.1320000000000002E-3</c:v>
                </c:pt>
                <c:pt idx="1">
                  <c:v>2.1559999999999999E-3</c:v>
                </c:pt>
                <c:pt idx="2">
                  <c:v>2.1399999999999995E-3</c:v>
                </c:pt>
                <c:pt idx="3">
                  <c:v>2.1720000000000008E-3</c:v>
                </c:pt>
                <c:pt idx="4">
                  <c:v>2.1799999999999996E-3</c:v>
                </c:pt>
                <c:pt idx="5">
                  <c:v>2.1959999999999979E-3</c:v>
                </c:pt>
                <c:pt idx="6">
                  <c:v>2.2000000000000019E-3</c:v>
                </c:pt>
                <c:pt idx="7">
                  <c:v>2.2000000000000019E-3</c:v>
                </c:pt>
                <c:pt idx="8">
                  <c:v>2.1839999999999993E-3</c:v>
                </c:pt>
                <c:pt idx="9">
                  <c:v>2.2039999999999972E-3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47-4DA6-B8B2-59773EB0C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6463"/>
        <c:axId val="1283841903"/>
      </c:scatterChart>
      <c:valAx>
        <c:axId val="1283856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1903"/>
        <c:crosses val="autoZero"/>
        <c:crossBetween val="midCat"/>
      </c:valAx>
      <c:valAx>
        <c:axId val="12838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-1V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927276463418644"/>
                  <c:y val="-0.304869130174322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1.8'!$E$82:$E$91</c:f>
              <c:numCache>
                <c:formatCode>General</c:formatCode>
                <c:ptCount val="10"/>
                <c:pt idx="0">
                  <c:v>1.4159999999999999</c:v>
                </c:pt>
                <c:pt idx="1">
                  <c:v>1.917999999999999</c:v>
                </c:pt>
                <c:pt idx="3">
                  <c:v>2.9123999999999999</c:v>
                </c:pt>
                <c:pt idx="4">
                  <c:v>3.4104000000000001</c:v>
                </c:pt>
                <c:pt idx="5">
                  <c:v>3.9083999999999999</c:v>
                </c:pt>
                <c:pt idx="6">
                  <c:v>4.4079999999999995</c:v>
                </c:pt>
                <c:pt idx="7">
                  <c:v>4.9060000000000006</c:v>
                </c:pt>
                <c:pt idx="8">
                  <c:v>5.4063999999999997</c:v>
                </c:pt>
                <c:pt idx="9">
                  <c:v>5.9059999999999997</c:v>
                </c:pt>
              </c:numCache>
            </c:numRef>
          </c:xVal>
          <c:yVal>
            <c:numRef>
              <c:f>'Step 1.8'!$I$82:$I$91</c:f>
              <c:numCache>
                <c:formatCode>0.00E+00</c:formatCode>
                <c:ptCount val="10"/>
                <c:pt idx="0">
                  <c:v>8.4000000000000014E-4</c:v>
                </c:pt>
                <c:pt idx="1">
                  <c:v>8.2000000000000963E-4</c:v>
                </c:pt>
                <c:pt idx="2">
                  <c:v>8.2000000000000074E-4</c:v>
                </c:pt>
                <c:pt idx="3">
                  <c:v>8.7599999999999896E-4</c:v>
                </c:pt>
                <c:pt idx="4">
                  <c:v>8.9599999999999901E-4</c:v>
                </c:pt>
                <c:pt idx="5">
                  <c:v>9.1600000000000123E-4</c:v>
                </c:pt>
                <c:pt idx="6">
                  <c:v>9.2000000000000079E-4</c:v>
                </c:pt>
                <c:pt idx="7">
                  <c:v>9.3999999999999856E-4</c:v>
                </c:pt>
                <c:pt idx="8">
                  <c:v>9.3600000000000345E-4</c:v>
                </c:pt>
                <c:pt idx="9">
                  <c:v>9.4000000000000301E-4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AF-41F5-B9DC-A5E7B4011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551"/>
        <c:axId val="1283843151"/>
      </c:scatterChart>
      <c:valAx>
        <c:axId val="1283853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3151"/>
        <c:crosses val="autoZero"/>
        <c:crossBetween val="midCat"/>
      </c:valAx>
      <c:valAx>
        <c:axId val="12838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=</a:t>
            </a:r>
            <a:r>
              <a:rPr lang="en-CA" baseline="0"/>
              <a:t> VE </a:t>
            </a:r>
            <a:r>
              <a:rPr lang="en-CA"/>
              <a:t>= 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08170546742368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2.2-2.4'!$E$2:$E$11</c:f>
              <c:numCache>
                <c:formatCode>0.00</c:formatCode>
                <c:ptCount val="10"/>
                <c:pt idx="0">
                  <c:v>9.4341730499938592</c:v>
                </c:pt>
                <c:pt idx="1">
                  <c:v>8.9361045279799693</c:v>
                </c:pt>
                <c:pt idx="2">
                  <c:v>8.43803600591011</c:v>
                </c:pt>
                <c:pt idx="3">
                  <c:v>7.9399674837786804</c:v>
                </c:pt>
                <c:pt idx="4">
                  <c:v>7.4418989615865101</c:v>
                </c:pt>
                <c:pt idx="5">
                  <c:v>6.9438304393402097</c:v>
                </c:pt>
                <c:pt idx="6">
                  <c:v>6.4457619170325202</c:v>
                </c:pt>
                <c:pt idx="7">
                  <c:v>5.9476933946697788</c:v>
                </c:pt>
                <c:pt idx="8">
                  <c:v>5.4496248722522926</c:v>
                </c:pt>
                <c:pt idx="9">
                  <c:v>4.9515563497754957</c:v>
                </c:pt>
              </c:numCache>
            </c:numRef>
          </c:xVal>
          <c:yVal>
            <c:numRef>
              <c:f>'Steps 2.2-2.4'!$I$2:$I$11</c:f>
              <c:numCache>
                <c:formatCode>0.00E+00</c:formatCode>
                <c:ptCount val="10"/>
                <c:pt idx="0">
                  <c:v>5.658269500061399E-3</c:v>
                </c:pt>
                <c:pt idx="1">
                  <c:v>5.638954720200302E-3</c:v>
                </c:pt>
                <c:pt idx="2">
                  <c:v>5.6196399408988996E-3</c:v>
                </c:pt>
                <c:pt idx="3">
                  <c:v>5.6003251622132001E-3</c:v>
                </c:pt>
                <c:pt idx="4">
                  <c:v>5.5810103841348992E-3</c:v>
                </c:pt>
                <c:pt idx="5">
                  <c:v>5.5616956065979006E-3</c:v>
                </c:pt>
                <c:pt idx="6">
                  <c:v>5.5423808296747997E-3</c:v>
                </c:pt>
                <c:pt idx="7">
                  <c:v>5.52306605330221E-3</c:v>
                </c:pt>
                <c:pt idx="8">
                  <c:v>5.5037512774770703E-3</c:v>
                </c:pt>
                <c:pt idx="9">
                  <c:v>5.4844365022450473E-3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D6-4533-BD81-874ED91C6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2.2-2.4'!$E$12:$E$21</c:f>
              <c:numCache>
                <c:formatCode>0.00</c:formatCode>
                <c:ptCount val="10"/>
                <c:pt idx="0">
                  <c:v>8.999328062615831</c:v>
                </c:pt>
                <c:pt idx="1">
                  <c:v>8.5010415061986393</c:v>
                </c:pt>
                <c:pt idx="2">
                  <c:v>8.0027549494466399</c:v>
                </c:pt>
                <c:pt idx="3">
                  <c:v>7.5044683923689002</c:v>
                </c:pt>
                <c:pt idx="4">
                  <c:v>7.0061818349661102</c:v>
                </c:pt>
                <c:pt idx="5">
                  <c:v>6.5078952772422802</c:v>
                </c:pt>
                <c:pt idx="6">
                  <c:v>6.00960871919757</c:v>
                </c:pt>
                <c:pt idx="7">
                  <c:v>5.5113221608386702</c:v>
                </c:pt>
                <c:pt idx="8">
                  <c:v>5.0130356021680198</c:v>
                </c:pt>
                <c:pt idx="9">
                  <c:v>4.5147490531239471</c:v>
                </c:pt>
              </c:numCache>
            </c:numRef>
          </c:xVal>
          <c:yVal>
            <c:numRef>
              <c:f>'Steps 2.2-2.4'!$I$12:$I$21</c:f>
              <c:numCache>
                <c:formatCode>0.00E+00</c:formatCode>
                <c:ptCount val="10"/>
                <c:pt idx="0">
                  <c:v>5.0067193738416995E-3</c:v>
                </c:pt>
                <c:pt idx="1">
                  <c:v>4.9895849380135983E-3</c:v>
                </c:pt>
                <c:pt idx="2">
                  <c:v>4.9724505055336009E-3</c:v>
                </c:pt>
                <c:pt idx="3">
                  <c:v>4.9553160763109979E-3</c:v>
                </c:pt>
                <c:pt idx="4">
                  <c:v>4.9381816503389023E-3</c:v>
                </c:pt>
                <c:pt idx="5">
                  <c:v>4.9210472275772023E-3</c:v>
                </c:pt>
                <c:pt idx="6">
                  <c:v>4.9039128080243001E-3</c:v>
                </c:pt>
                <c:pt idx="7">
                  <c:v>4.8867783916133004E-3</c:v>
                </c:pt>
                <c:pt idx="8">
                  <c:v>4.8696439783198001E-3</c:v>
                </c:pt>
                <c:pt idx="9">
                  <c:v>4.8525094687605326E-3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93-4BED-A27B-25E9B6613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73536140887034"/>
                  <c:y val="-0.10972151909392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Lit>
              <c:formatCode>General</c:formatCode>
              <c:ptCount val="10"/>
              <c:pt idx="0">
                <c:v>2.5</c:v>
              </c:pt>
              <c:pt idx="1">
                <c:v>2.5</c:v>
              </c:pt>
              <c:pt idx="2">
                <c:v>2.5</c:v>
              </c:pt>
              <c:pt idx="3">
                <c:v>2.5</c:v>
              </c:pt>
              <c:pt idx="4">
                <c:v>2.5</c:v>
              </c:pt>
              <c:pt idx="5">
                <c:v>2.5</c:v>
              </c:pt>
              <c:pt idx="6">
                <c:v>2.5</c:v>
              </c:pt>
              <c:pt idx="7">
                <c:v>2.5</c:v>
              </c:pt>
              <c:pt idx="8">
                <c:v>2.5</c:v>
              </c:pt>
              <c:pt idx="9">
                <c:v>2.5</c:v>
              </c:pt>
            </c:numLit>
          </c:xVal>
          <c:yVal>
            <c:numLit>
              <c:formatCode>General</c:formatCode>
              <c:ptCount val="10"/>
              <c:pt idx="0">
                <c:v>0.05</c:v>
              </c:pt>
              <c:pt idx="1">
                <c:v>4.4999999999999998E-2</c:v>
              </c:pt>
              <c:pt idx="2">
                <c:v>0.04</c:v>
              </c:pt>
              <c:pt idx="3">
                <c:v>3.5000000000000003E-2</c:v>
              </c:pt>
              <c:pt idx="4">
                <c:v>0.03</c:v>
              </c:pt>
              <c:pt idx="5">
                <c:v>2.5000000000000001E-2</c:v>
              </c:pt>
              <c:pt idx="6">
                <c:v>0.02</c:v>
              </c:pt>
              <c:pt idx="7">
                <c:v>1.4999999999999999E-2</c:v>
              </c:pt>
              <c:pt idx="8">
                <c:v>0.01</c:v>
              </c:pt>
              <c:pt idx="9">
                <c:v>5.0000000000000001E-3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DEE-4AD6-B887-1CB6B2072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</a:t>
            </a:r>
            <a:r>
              <a:rPr lang="en-CA"/>
              <a:t> = 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04680681700847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2.2-2.4'!$E$22:$E$31</c:f>
              <c:numCache>
                <c:formatCode>0.00</c:formatCode>
                <c:ptCount val="10"/>
                <c:pt idx="0">
                  <c:v>8.5648615347638302</c:v>
                </c:pt>
                <c:pt idx="1">
                  <c:v>8.0663543452909696</c:v>
                </c:pt>
                <c:pt idx="2">
                  <c:v>7.5678471538472696</c:v>
                </c:pt>
                <c:pt idx="3">
                  <c:v>7.0693399604506304</c:v>
                </c:pt>
                <c:pt idx="4">
                  <c:v>6.5708327651204499</c:v>
                </c:pt>
                <c:pt idx="5">
                  <c:v>6.0723255678779999</c:v>
                </c:pt>
                <c:pt idx="6">
                  <c:v>5.5738183928057099</c:v>
                </c:pt>
                <c:pt idx="7">
                  <c:v>5.0753111867897003</c:v>
                </c:pt>
                <c:pt idx="8">
                  <c:v>4.576804011730065</c:v>
                </c:pt>
                <c:pt idx="9">
                  <c:v>4.0782968059915765</c:v>
                </c:pt>
              </c:numCache>
            </c:numRef>
          </c:xVal>
          <c:yVal>
            <c:numRef>
              <c:f>'Steps 2.2-2.4'!$I$22:$I$31</c:f>
              <c:numCache>
                <c:formatCode>0.00E+00</c:formatCode>
                <c:ptCount val="10"/>
                <c:pt idx="0">
                  <c:v>4.3513846523616983E-3</c:v>
                </c:pt>
                <c:pt idx="1">
                  <c:v>4.3364565470903034E-3</c:v>
                </c:pt>
                <c:pt idx="2">
                  <c:v>4.3215284615272997E-3</c:v>
                </c:pt>
                <c:pt idx="3">
                  <c:v>4.3066003954937001E-3</c:v>
                </c:pt>
                <c:pt idx="4">
                  <c:v>4.291672348795501E-3</c:v>
                </c:pt>
                <c:pt idx="5">
                  <c:v>4.276744321220001E-3</c:v>
                </c:pt>
                <c:pt idx="6">
                  <c:v>4.2618160719429012E-3</c:v>
                </c:pt>
                <c:pt idx="7">
                  <c:v>4.2468881321029994E-3</c:v>
                </c:pt>
                <c:pt idx="8">
                  <c:v>4.2319598826993498E-3</c:v>
                </c:pt>
                <c:pt idx="9">
                  <c:v>4.2170319400842392E-3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F8-4218-BB2C-61207FD8E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=</a:t>
            </a:r>
            <a:r>
              <a:rPr lang="en-CA" baseline="0"/>
              <a:t> VE </a:t>
            </a:r>
            <a:r>
              <a:rPr lang="en-CA"/>
              <a:t>= 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08170546742368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2.2-2.4'!$E$2:$E$11</c:f>
              <c:numCache>
                <c:formatCode>0.00</c:formatCode>
                <c:ptCount val="10"/>
                <c:pt idx="0">
                  <c:v>9.4341730499938592</c:v>
                </c:pt>
                <c:pt idx="1">
                  <c:v>8.9361045279799693</c:v>
                </c:pt>
                <c:pt idx="2">
                  <c:v>8.43803600591011</c:v>
                </c:pt>
                <c:pt idx="3">
                  <c:v>7.9399674837786804</c:v>
                </c:pt>
                <c:pt idx="4">
                  <c:v>7.4418989615865101</c:v>
                </c:pt>
                <c:pt idx="5">
                  <c:v>6.9438304393402097</c:v>
                </c:pt>
                <c:pt idx="6">
                  <c:v>6.4457619170325202</c:v>
                </c:pt>
                <c:pt idx="7">
                  <c:v>5.9476933946697788</c:v>
                </c:pt>
                <c:pt idx="8">
                  <c:v>5.4496248722522926</c:v>
                </c:pt>
                <c:pt idx="9">
                  <c:v>4.9515563497754957</c:v>
                </c:pt>
              </c:numCache>
            </c:numRef>
          </c:xVal>
          <c:yVal>
            <c:numRef>
              <c:f>'Steps 2.2-2.4'!$I$2:$I$11</c:f>
              <c:numCache>
                <c:formatCode>0.00E+00</c:formatCode>
                <c:ptCount val="10"/>
                <c:pt idx="0">
                  <c:v>5.658269500061399E-3</c:v>
                </c:pt>
                <c:pt idx="1">
                  <c:v>5.638954720200302E-3</c:v>
                </c:pt>
                <c:pt idx="2">
                  <c:v>5.6196399408988996E-3</c:v>
                </c:pt>
                <c:pt idx="3">
                  <c:v>5.6003251622132001E-3</c:v>
                </c:pt>
                <c:pt idx="4">
                  <c:v>5.5810103841348992E-3</c:v>
                </c:pt>
                <c:pt idx="5">
                  <c:v>5.5616956065979006E-3</c:v>
                </c:pt>
                <c:pt idx="6">
                  <c:v>5.5423808296747997E-3</c:v>
                </c:pt>
                <c:pt idx="7">
                  <c:v>5.52306605330221E-3</c:v>
                </c:pt>
                <c:pt idx="8">
                  <c:v>5.5037512774770703E-3</c:v>
                </c:pt>
                <c:pt idx="9">
                  <c:v>5.4844365022450473E-3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77-4F7A-A6A2-78DA580E7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</a:t>
            </a:r>
            <a:r>
              <a:rPr lang="en-CA" baseline="0"/>
              <a:t>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 baseline="0"/>
              <a:t>= 4.5V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908947414601689"/>
                  <c:y val="-0.100349100909379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2.2-2.4'!$E$12:$E$21</c:f>
              <c:numCache>
                <c:formatCode>0.00</c:formatCode>
                <c:ptCount val="10"/>
                <c:pt idx="0">
                  <c:v>8.999328062615831</c:v>
                </c:pt>
                <c:pt idx="1">
                  <c:v>8.5010415061986393</c:v>
                </c:pt>
                <c:pt idx="2">
                  <c:v>8.0027549494466399</c:v>
                </c:pt>
                <c:pt idx="3">
                  <c:v>7.5044683923689002</c:v>
                </c:pt>
                <c:pt idx="4">
                  <c:v>7.0061818349661102</c:v>
                </c:pt>
                <c:pt idx="5">
                  <c:v>6.5078952772422802</c:v>
                </c:pt>
                <c:pt idx="6">
                  <c:v>6.00960871919757</c:v>
                </c:pt>
                <c:pt idx="7">
                  <c:v>5.5113221608386702</c:v>
                </c:pt>
                <c:pt idx="8">
                  <c:v>5.0130356021680198</c:v>
                </c:pt>
                <c:pt idx="9">
                  <c:v>4.5147490531239471</c:v>
                </c:pt>
              </c:numCache>
            </c:numRef>
          </c:xVal>
          <c:yVal>
            <c:numRef>
              <c:f>'Steps 2.2-2.4'!$I$12:$I$21</c:f>
              <c:numCache>
                <c:formatCode>0.00E+00</c:formatCode>
                <c:ptCount val="10"/>
                <c:pt idx="0">
                  <c:v>5.0067193738416995E-3</c:v>
                </c:pt>
                <c:pt idx="1">
                  <c:v>4.9895849380135983E-3</c:v>
                </c:pt>
                <c:pt idx="2">
                  <c:v>4.9724505055336009E-3</c:v>
                </c:pt>
                <c:pt idx="3">
                  <c:v>4.9553160763109979E-3</c:v>
                </c:pt>
                <c:pt idx="4">
                  <c:v>4.9381816503389023E-3</c:v>
                </c:pt>
                <c:pt idx="5">
                  <c:v>4.9210472275772023E-3</c:v>
                </c:pt>
                <c:pt idx="6">
                  <c:v>4.9039128080243001E-3</c:v>
                </c:pt>
                <c:pt idx="7">
                  <c:v>4.8867783916133004E-3</c:v>
                </c:pt>
                <c:pt idx="8">
                  <c:v>4.8696439783198001E-3</c:v>
                </c:pt>
                <c:pt idx="9">
                  <c:v>4.8525094687605326E-3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B0-42BB-ADBF-CD90DF2E0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2719"/>
        <c:axId val="1283846895"/>
      </c:scatterChart>
      <c:valAx>
        <c:axId val="128385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895"/>
        <c:crosses val="autoZero"/>
        <c:crossBetween val="midCat"/>
      </c:valAx>
      <c:valAx>
        <c:axId val="12838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4V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084303866864017"/>
                  <c:y val="-0.10807721743067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2.2-2.4'!$E$22:$E$31</c:f>
              <c:numCache>
                <c:formatCode>0.00</c:formatCode>
                <c:ptCount val="10"/>
                <c:pt idx="0">
                  <c:v>8.5648615347638302</c:v>
                </c:pt>
                <c:pt idx="1">
                  <c:v>8.0663543452909696</c:v>
                </c:pt>
                <c:pt idx="2">
                  <c:v>7.5678471538472696</c:v>
                </c:pt>
                <c:pt idx="3">
                  <c:v>7.0693399604506304</c:v>
                </c:pt>
                <c:pt idx="4">
                  <c:v>6.5708327651204499</c:v>
                </c:pt>
                <c:pt idx="5">
                  <c:v>6.0723255678779999</c:v>
                </c:pt>
                <c:pt idx="6">
                  <c:v>5.5738183928057099</c:v>
                </c:pt>
                <c:pt idx="7">
                  <c:v>5.0753111867897003</c:v>
                </c:pt>
                <c:pt idx="8">
                  <c:v>4.576804011730065</c:v>
                </c:pt>
                <c:pt idx="9">
                  <c:v>4.0782968059915765</c:v>
                </c:pt>
              </c:numCache>
            </c:numRef>
          </c:xVal>
          <c:yVal>
            <c:numRef>
              <c:f>'Steps 2.2-2.4'!$I$22:$I$31</c:f>
              <c:numCache>
                <c:formatCode>0.00E+00</c:formatCode>
                <c:ptCount val="10"/>
                <c:pt idx="0">
                  <c:v>4.3513846523616983E-3</c:v>
                </c:pt>
                <c:pt idx="1">
                  <c:v>4.3364565470903034E-3</c:v>
                </c:pt>
                <c:pt idx="2">
                  <c:v>4.3215284615272997E-3</c:v>
                </c:pt>
                <c:pt idx="3">
                  <c:v>4.3066003954937001E-3</c:v>
                </c:pt>
                <c:pt idx="4">
                  <c:v>4.291672348795501E-3</c:v>
                </c:pt>
                <c:pt idx="5">
                  <c:v>4.276744321220001E-3</c:v>
                </c:pt>
                <c:pt idx="6">
                  <c:v>4.2618160719429012E-3</c:v>
                </c:pt>
                <c:pt idx="7">
                  <c:v>4.2468881321029994E-3</c:v>
                </c:pt>
                <c:pt idx="8">
                  <c:v>4.2319598826993498E-3</c:v>
                </c:pt>
                <c:pt idx="9">
                  <c:v>4.2170319400842392E-3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8-46A2-A711-AAC673C81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46063"/>
        <c:axId val="1283856047"/>
      </c:scatterChart>
      <c:valAx>
        <c:axId val="128384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047"/>
        <c:crosses val="autoZero"/>
        <c:crossBetween val="midCat"/>
      </c:valAx>
      <c:valAx>
        <c:axId val="12838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2.2-2.4'!$E$32:$E$41</c:f>
              <c:numCache>
                <c:formatCode>0.00</c:formatCode>
                <c:ptCount val="10"/>
                <c:pt idx="0">
                  <c:v>8.1307225548550104</c:v>
                </c:pt>
                <c:pt idx="1">
                  <c:v>7.6319923231512998</c:v>
                </c:pt>
                <c:pt idx="2">
                  <c:v>7.1332620806121598</c:v>
                </c:pt>
                <c:pt idx="3">
                  <c:v>6.6345318488112994</c:v>
                </c:pt>
                <c:pt idx="4">
                  <c:v>6.1358016062131302</c:v>
                </c:pt>
                <c:pt idx="5">
                  <c:v>5.6370713744235701</c:v>
                </c:pt>
                <c:pt idx="6">
                  <c:v>5.1383411319009102</c:v>
                </c:pt>
                <c:pt idx="7">
                  <c:v>4.6396108999869696</c:v>
                </c:pt>
                <c:pt idx="8">
                  <c:v>4.1408806574048711</c:v>
                </c:pt>
                <c:pt idx="9">
                  <c:v>3.642150425501574</c:v>
                </c:pt>
              </c:numCache>
            </c:numRef>
          </c:xVal>
          <c:yVal>
            <c:numRef>
              <c:f>'Steps 2.2-2.4'!$I$32:$I$41</c:f>
              <c:numCache>
                <c:formatCode>0.00E+00</c:formatCode>
                <c:ptCount val="10"/>
                <c:pt idx="0">
                  <c:v>3.6927744514498959E-3</c:v>
                </c:pt>
                <c:pt idx="1">
                  <c:v>3.6800767684870019E-3</c:v>
                </c:pt>
                <c:pt idx="2">
                  <c:v>3.6673791938784017E-3</c:v>
                </c:pt>
                <c:pt idx="3">
                  <c:v>3.6546815118870014E-3</c:v>
                </c:pt>
                <c:pt idx="4">
                  <c:v>3.6419839378686982E-3</c:v>
                </c:pt>
                <c:pt idx="5">
                  <c:v>3.6292862557642993E-3</c:v>
                </c:pt>
                <c:pt idx="6">
                  <c:v>3.6165886809909E-3</c:v>
                </c:pt>
                <c:pt idx="7">
                  <c:v>3.6038910001302991E-3</c:v>
                </c:pt>
                <c:pt idx="8">
                  <c:v>3.5911934259512902E-3</c:v>
                </c:pt>
                <c:pt idx="9">
                  <c:v>3.5784957449842602E-3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8E-46E4-886D-3F62E9676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3V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2187364778658687"/>
                  <c:y val="-0.134268970518429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2.2-2.4'!$E$42:$E$51</c:f>
              <c:numCache>
                <c:formatCode>0.00</c:formatCode>
                <c:ptCount val="10"/>
                <c:pt idx="0">
                  <c:v>7.6968182017567797</c:v>
                </c:pt>
                <c:pt idx="1">
                  <c:v>7.1978628518535199</c:v>
                </c:pt>
                <c:pt idx="2">
                  <c:v>6.6989075019356203</c:v>
                </c:pt>
                <c:pt idx="3">
                  <c:v>6.1999521520060199</c:v>
                </c:pt>
                <c:pt idx="4">
                  <c:v>5.7009968020635098</c:v>
                </c:pt>
                <c:pt idx="5">
                  <c:v>5.2020414521076894</c:v>
                </c:pt>
                <c:pt idx="6">
                  <c:v>4.7030861021422501</c:v>
                </c:pt>
                <c:pt idx="7">
                  <c:v>4.2041307521610296</c:v>
                </c:pt>
                <c:pt idx="8">
                  <c:v>3.705175402167614</c:v>
                </c:pt>
                <c:pt idx="9">
                  <c:v>3.2062200521608122</c:v>
                </c:pt>
              </c:numCache>
            </c:numRef>
          </c:xVal>
          <c:yVal>
            <c:numRef>
              <c:f>'Steps 2.2-2.4'!$I$42:$I$51</c:f>
              <c:numCache>
                <c:formatCode>0.00E+00</c:formatCode>
                <c:ptCount val="10"/>
                <c:pt idx="0">
                  <c:v>3.0318179824322033E-3</c:v>
                </c:pt>
                <c:pt idx="1">
                  <c:v>3.0213714814648009E-3</c:v>
                </c:pt>
                <c:pt idx="2">
                  <c:v>3.0109249806438009E-3</c:v>
                </c:pt>
                <c:pt idx="3">
                  <c:v>3.000478479939801E-3</c:v>
                </c:pt>
                <c:pt idx="4">
                  <c:v>2.9900319793649023E-3</c:v>
                </c:pt>
                <c:pt idx="5">
                  <c:v>2.9795854789231011E-3</c:v>
                </c:pt>
                <c:pt idx="6">
                  <c:v>2.9691389785774991E-3</c:v>
                </c:pt>
                <c:pt idx="7">
                  <c:v>2.9586924783896996E-3</c:v>
                </c:pt>
                <c:pt idx="8">
                  <c:v>2.9482459783238602E-3</c:v>
                </c:pt>
                <c:pt idx="9">
                  <c:v>2.9377994783918804E-3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0A-4BE7-8CDD-9B4AF3B81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53663"/>
        <c:axId val="1778956991"/>
      </c:scatterChart>
      <c:valAx>
        <c:axId val="1778953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6991"/>
        <c:crosses val="autoZero"/>
        <c:crossBetween val="midCat"/>
      </c:valAx>
      <c:valAx>
        <c:axId val="177895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5893315648453703"/>
                  <c:y val="-0.132505539213918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2.2-2.4'!$E$52:$E$61</c:f>
              <c:numCache>
                <c:formatCode>0.00</c:formatCode>
                <c:ptCount val="10"/>
                <c:pt idx="0">
                  <c:v>7.2629783433997801</c:v>
                </c:pt>
                <c:pt idx="1">
                  <c:v>6.7637964532722101</c:v>
                </c:pt>
                <c:pt idx="2">
                  <c:v>6.2646145631304</c:v>
                </c:pt>
                <c:pt idx="3">
                  <c:v>5.7654326729758996</c:v>
                </c:pt>
                <c:pt idx="4">
                  <c:v>5.2662507828058001</c:v>
                </c:pt>
                <c:pt idx="5">
                  <c:v>4.7670688926234801</c:v>
                </c:pt>
                <c:pt idx="6">
                  <c:v>4.26788700242634</c:v>
                </c:pt>
                <c:pt idx="7">
                  <c:v>3.7687051122161703</c:v>
                </c:pt>
                <c:pt idx="8">
                  <c:v>3.269523221991848</c:v>
                </c:pt>
                <c:pt idx="9">
                  <c:v>2.770341331752721</c:v>
                </c:pt>
              </c:numCache>
            </c:numRef>
          </c:xVal>
          <c:yVal>
            <c:numRef>
              <c:f>'Steps 2.2-2.4'!$I$52:$I$61</c:f>
              <c:numCache>
                <c:formatCode>0.00E+00</c:formatCode>
                <c:ptCount val="10"/>
                <c:pt idx="0">
                  <c:v>2.3702165660021992E-3</c:v>
                </c:pt>
                <c:pt idx="1">
                  <c:v>2.3620354672778988E-3</c:v>
                </c:pt>
                <c:pt idx="2">
                  <c:v>2.3538543686960002E-3</c:v>
                </c:pt>
                <c:pt idx="3">
                  <c:v>2.3456732702410001E-3</c:v>
                </c:pt>
                <c:pt idx="4">
                  <c:v>2.3374921719419993E-3</c:v>
                </c:pt>
                <c:pt idx="5">
                  <c:v>2.329311073765199E-3</c:v>
                </c:pt>
                <c:pt idx="6">
                  <c:v>2.3211299757365999E-3</c:v>
                </c:pt>
                <c:pt idx="7">
                  <c:v>2.312948877838299E-3</c:v>
                </c:pt>
                <c:pt idx="8">
                  <c:v>2.3047677800815203E-3</c:v>
                </c:pt>
                <c:pt idx="9">
                  <c:v>2.2965866824727899E-3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3-44D5-AF6C-26C724994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</a:t>
            </a:r>
            <a:r>
              <a:rPr lang="en-CA"/>
              <a:t> = 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8603384238306674"/>
                  <c:y val="-0.120035085332461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2.2-2.4'!$E$62:$E$71</c:f>
              <c:numCache>
                <c:formatCode>0.00</c:formatCode>
                <c:ptCount val="10"/>
                <c:pt idx="0">
                  <c:v>6.8288746520526802</c:v>
                </c:pt>
                <c:pt idx="1">
                  <c:v>6.3294660250039403</c:v>
                </c:pt>
                <c:pt idx="2">
                  <c:v>5.8300573981316806</c:v>
                </c:pt>
                <c:pt idx="3">
                  <c:v>5.3306487714350403</c:v>
                </c:pt>
                <c:pt idx="4">
                  <c:v>4.8312401449115896</c:v>
                </c:pt>
                <c:pt idx="5">
                  <c:v>4.3318315185581895</c:v>
                </c:pt>
                <c:pt idx="6">
                  <c:v>3.8324228900379</c:v>
                </c:pt>
                <c:pt idx="7">
                  <c:v>3.33301426448307</c:v>
                </c:pt>
                <c:pt idx="8">
                  <c:v>2.833605635959707</c:v>
                </c:pt>
                <c:pt idx="9">
                  <c:v>2.3341970103673471</c:v>
                </c:pt>
              </c:numCache>
            </c:numRef>
          </c:xVal>
          <c:yVal>
            <c:numRef>
              <c:f>'Steps 2.2-2.4'!$I$62:$I$71</c:f>
              <c:numCache>
                <c:formatCode>0.00E+00</c:formatCode>
                <c:ptCount val="10"/>
                <c:pt idx="0">
                  <c:v>1.7112534794731982E-3</c:v>
                </c:pt>
                <c:pt idx="1">
                  <c:v>1.705339749960597E-3</c:v>
                </c:pt>
                <c:pt idx="2">
                  <c:v>1.6994260186831988E-3</c:v>
                </c:pt>
                <c:pt idx="3">
                  <c:v>1.6935122856496011E-3</c:v>
                </c:pt>
                <c:pt idx="4">
                  <c:v>1.6875985508840996E-3</c:v>
                </c:pt>
                <c:pt idx="5">
                  <c:v>1.6816848144181008E-3</c:v>
                </c:pt>
                <c:pt idx="6">
                  <c:v>1.6757710996209995E-3</c:v>
                </c:pt>
                <c:pt idx="7">
                  <c:v>1.6698573551692996E-3</c:v>
                </c:pt>
                <c:pt idx="8">
                  <c:v>1.6639436404029294E-3</c:v>
                </c:pt>
                <c:pt idx="9">
                  <c:v>1.65802989632653E-3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FC-455B-9453-0AF351FC8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1.5V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0329065755695723"/>
                  <c:y val="-0.118783633873007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2.2-2.4'!$E$72:$E$81</c:f>
              <c:numCache>
                <c:formatCode>0.00</c:formatCode>
                <c:ptCount val="10"/>
                <c:pt idx="0">
                  <c:v>6.3937893258970302</c:v>
                </c:pt>
                <c:pt idx="1">
                  <c:v>5.8941564358488501</c:v>
                </c:pt>
                <c:pt idx="2">
                  <c:v>5.3945235457885197</c:v>
                </c:pt>
                <c:pt idx="3">
                  <c:v>4.8948906557161003</c:v>
                </c:pt>
                <c:pt idx="4">
                  <c:v>4.3952577656292702</c:v>
                </c:pt>
                <c:pt idx="5">
                  <c:v>3.8956248755306899</c:v>
                </c:pt>
                <c:pt idx="6">
                  <c:v>3.3959919854188803</c:v>
                </c:pt>
                <c:pt idx="7">
                  <c:v>2.8963590952944198</c:v>
                </c:pt>
                <c:pt idx="8">
                  <c:v>2.3967262051565239</c:v>
                </c:pt>
                <c:pt idx="9">
                  <c:v>1.8970933150061349</c:v>
                </c:pt>
              </c:numCache>
            </c:numRef>
          </c:xVal>
          <c:yVal>
            <c:numRef>
              <c:f>'Steps 2.2-2.4'!$I$72:$I$81</c:f>
              <c:numCache>
                <c:formatCode>0.00E+00</c:formatCode>
                <c:ptCount val="10"/>
                <c:pt idx="0">
                  <c:v>1.0621067410296981E-3</c:v>
                </c:pt>
                <c:pt idx="1">
                  <c:v>1.0584356415114992E-3</c:v>
                </c:pt>
                <c:pt idx="2">
                  <c:v>1.0547645421147989E-3</c:v>
                </c:pt>
                <c:pt idx="3">
                  <c:v>1.0510934428390017E-3</c:v>
                </c:pt>
                <c:pt idx="4">
                  <c:v>1.0474223437072982E-3</c:v>
                </c:pt>
                <c:pt idx="5">
                  <c:v>1.0437512446931007E-3</c:v>
                </c:pt>
                <c:pt idx="6">
                  <c:v>1.0400801458111996E-3</c:v>
                </c:pt>
                <c:pt idx="7">
                  <c:v>1.0364090470557996E-3</c:v>
                </c:pt>
                <c:pt idx="8">
                  <c:v>1.0327379484347599E-3</c:v>
                </c:pt>
                <c:pt idx="9">
                  <c:v>1.0290668499386502E-3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02-4BD7-A28F-705372712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6463"/>
        <c:axId val="1283841903"/>
      </c:scatterChart>
      <c:valAx>
        <c:axId val="12838564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1903"/>
        <c:crosses val="autoZero"/>
        <c:crossBetween val="midCat"/>
      </c:valAx>
      <c:valAx>
        <c:axId val="12838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1V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1842109077515186"/>
                  <c:y val="-0.111833157929590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2.2-2.4'!$E$82:$E$91</c:f>
              <c:numCache>
                <c:formatCode>0.00</c:formatCode>
                <c:ptCount val="10"/>
                <c:pt idx="0">
                  <c:v>5.9556338461296798</c:v>
                </c:pt>
                <c:pt idx="1">
                  <c:v>5.4557868122435798</c:v>
                </c:pt>
                <c:pt idx="2">
                  <c:v>4.9559397838654196</c:v>
                </c:pt>
                <c:pt idx="3">
                  <c:v>4.4560927499785805</c:v>
                </c:pt>
                <c:pt idx="4">
                  <c:v>3.9562457215728699</c:v>
                </c:pt>
                <c:pt idx="5">
                  <c:v>3.4563986876653301</c:v>
                </c:pt>
                <c:pt idx="6">
                  <c:v>2.9565516591985199</c:v>
                </c:pt>
                <c:pt idx="7">
                  <c:v>2.4567046253039901</c:v>
                </c:pt>
                <c:pt idx="8">
                  <c:v>1.9568575968094111</c:v>
                </c:pt>
                <c:pt idx="9">
                  <c:v>1.4570105628943439</c:v>
                </c:pt>
              </c:numCache>
            </c:numRef>
          </c:xVal>
          <c:yVal>
            <c:numRef>
              <c:f>'Steps 2.2-2.4'!$I$82:$I$91</c:f>
              <c:numCache>
                <c:formatCode>0.00E+00</c:formatCode>
                <c:ptCount val="10"/>
                <c:pt idx="0">
                  <c:v>4.4366153870320171E-4</c:v>
                </c:pt>
                <c:pt idx="1">
                  <c:v>4.4213187756420247E-4</c:v>
                </c:pt>
                <c:pt idx="2">
                  <c:v>4.4060216134580001E-4</c:v>
                </c:pt>
                <c:pt idx="3">
                  <c:v>4.3907250021419931E-4</c:v>
                </c:pt>
                <c:pt idx="4">
                  <c:v>4.3754278427130086E-4</c:v>
                </c:pt>
                <c:pt idx="5">
                  <c:v>4.3601312334669908E-4</c:v>
                </c:pt>
                <c:pt idx="6">
                  <c:v>4.3448340801480081E-4</c:v>
                </c:pt>
                <c:pt idx="7">
                  <c:v>4.3295374696010079E-4</c:v>
                </c:pt>
                <c:pt idx="8">
                  <c:v>4.3142403190589039E-4</c:v>
                </c:pt>
                <c:pt idx="9">
                  <c:v>4.2989437105656004E-4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C2-409D-80F7-D36E59BE4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551"/>
        <c:axId val="1283843151"/>
      </c:scatterChart>
      <c:valAx>
        <c:axId val="128385355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</a:t>
                </a:r>
                <a:r>
                  <a:rPr lang="en-CA" baseline="0"/>
                  <a:t> (Volt)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3151"/>
        <c:crosses val="autoZero"/>
        <c:crossBetween val="midCat"/>
      </c:valAx>
      <c:valAx>
        <c:axId val="12838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</a:t>
            </a:r>
            <a:r>
              <a:rPr lang="en-CA" baseline="0"/>
              <a:t> = VE</a:t>
            </a:r>
            <a:r>
              <a:rPr lang="en-CA"/>
              <a:t> = 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814969547917842"/>
                  <c:y val="-0.122126549818518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2.8'!$E$2:$E$11</c:f>
              <c:numCache>
                <c:formatCode>0.00</c:formatCode>
                <c:ptCount val="10"/>
                <c:pt idx="0">
                  <c:v>8.8223999999999894</c:v>
                </c:pt>
                <c:pt idx="1">
                  <c:v>8.3343999999999898</c:v>
                </c:pt>
                <c:pt idx="2">
                  <c:v>7.8351999999999897</c:v>
                </c:pt>
                <c:pt idx="3">
                  <c:v>7.3415999999999997</c:v>
                </c:pt>
                <c:pt idx="4">
                  <c:v>6.8528000000000002</c:v>
                </c:pt>
                <c:pt idx="5">
                  <c:v>6.3620000000000001</c:v>
                </c:pt>
                <c:pt idx="6">
                  <c:v>5.8712</c:v>
                </c:pt>
                <c:pt idx="7">
                  <c:v>5.3879999999999999</c:v>
                </c:pt>
                <c:pt idx="8">
                  <c:v>4.9180000000000001</c:v>
                </c:pt>
                <c:pt idx="9">
                  <c:v>4.4336000000000002</c:v>
                </c:pt>
              </c:numCache>
            </c:numRef>
          </c:xVal>
          <c:yVal>
            <c:numRef>
              <c:f>'Step 2.8'!$I$2:$I$11</c:f>
              <c:numCache>
                <c:formatCode>0.00E+00</c:formatCode>
                <c:ptCount val="10"/>
                <c:pt idx="0">
                  <c:v>1.1776000000000102E-2</c:v>
                </c:pt>
                <c:pt idx="1">
                  <c:v>1.1656000000000102E-2</c:v>
                </c:pt>
                <c:pt idx="2">
                  <c:v>1.1648000000000098E-2</c:v>
                </c:pt>
                <c:pt idx="3">
                  <c:v>1.1583999999999999E-2</c:v>
                </c:pt>
                <c:pt idx="4">
                  <c:v>1.1472E-2</c:v>
                </c:pt>
                <c:pt idx="5">
                  <c:v>1.1379999999999999E-2</c:v>
                </c:pt>
                <c:pt idx="6">
                  <c:v>1.1287999999999999E-2</c:v>
                </c:pt>
                <c:pt idx="7">
                  <c:v>1.1120000000000001E-2</c:v>
                </c:pt>
                <c:pt idx="8">
                  <c:v>1.0820000000000001E-2</c:v>
                </c:pt>
                <c:pt idx="9">
                  <c:v>1.0664E-2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19-4170-9C86-F5476FE84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110708939207141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2.8'!$E$12:$E$21</c:f>
              <c:numCache>
                <c:formatCode>0.00</c:formatCode>
                <c:ptCount val="10"/>
                <c:pt idx="0">
                  <c:v>8.450800000000001</c:v>
                </c:pt>
                <c:pt idx="1">
                  <c:v>7.9564000000000004</c:v>
                </c:pt>
                <c:pt idx="2">
                  <c:v>7.4648000000000003</c:v>
                </c:pt>
                <c:pt idx="3">
                  <c:v>6.9752000000000001</c:v>
                </c:pt>
                <c:pt idx="4">
                  <c:v>6.4879999999999995</c:v>
                </c:pt>
                <c:pt idx="5">
                  <c:v>5.9984000000000002</c:v>
                </c:pt>
                <c:pt idx="6">
                  <c:v>5.5091999999999901</c:v>
                </c:pt>
                <c:pt idx="7">
                  <c:v>5.024</c:v>
                </c:pt>
                <c:pt idx="8">
                  <c:v>4.5544000000000002</c:v>
                </c:pt>
                <c:pt idx="9">
                  <c:v>4.0675999999999997</c:v>
                </c:pt>
              </c:numCache>
            </c:numRef>
          </c:xVal>
          <c:yVal>
            <c:numRef>
              <c:f>'Step 2.8'!$I$12:$I$21</c:f>
              <c:numCache>
                <c:formatCode>0.00E+00</c:formatCode>
                <c:ptCount val="10"/>
                <c:pt idx="0">
                  <c:v>1.0492E-2</c:v>
                </c:pt>
                <c:pt idx="1">
                  <c:v>1.0436000000000001E-2</c:v>
                </c:pt>
                <c:pt idx="2">
                  <c:v>1.0352000000000002E-2</c:v>
                </c:pt>
                <c:pt idx="3">
                  <c:v>1.0248E-2</c:v>
                </c:pt>
                <c:pt idx="4">
                  <c:v>1.0120000000000001E-2</c:v>
                </c:pt>
                <c:pt idx="5">
                  <c:v>1.0016000000000001E-2</c:v>
                </c:pt>
                <c:pt idx="6">
                  <c:v>9.908000000000099E-3</c:v>
                </c:pt>
                <c:pt idx="7">
                  <c:v>9.7599999999999996E-3</c:v>
                </c:pt>
                <c:pt idx="8">
                  <c:v>9.4559999999999991E-3</c:v>
                </c:pt>
                <c:pt idx="9">
                  <c:v>9.3240000000000007E-3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C2-4BD7-87F0-B2FD56F27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3389760196080662"/>
                  <c:y val="-0.114218850480834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Lit>
              <c:formatCode>General</c:formatCode>
              <c:ptCount val="10"/>
              <c:pt idx="0">
                <c:v>2.5</c:v>
              </c:pt>
              <c:pt idx="1">
                <c:v>2.5</c:v>
              </c:pt>
              <c:pt idx="2">
                <c:v>2.5</c:v>
              </c:pt>
              <c:pt idx="3">
                <c:v>2.5</c:v>
              </c:pt>
              <c:pt idx="4">
                <c:v>2.5</c:v>
              </c:pt>
              <c:pt idx="5">
                <c:v>2.5</c:v>
              </c:pt>
              <c:pt idx="6">
                <c:v>2.5</c:v>
              </c:pt>
              <c:pt idx="7">
                <c:v>2.5</c:v>
              </c:pt>
              <c:pt idx="8">
                <c:v>2.5</c:v>
              </c:pt>
              <c:pt idx="9">
                <c:v>2.5</c:v>
              </c:pt>
            </c:numLit>
          </c:xVal>
          <c:yVal>
            <c:numLit>
              <c:formatCode>General</c:formatCode>
              <c:ptCount val="10"/>
              <c:pt idx="0">
                <c:v>0.05</c:v>
              </c:pt>
              <c:pt idx="1">
                <c:v>4.4999999999999998E-2</c:v>
              </c:pt>
              <c:pt idx="2">
                <c:v>0.04</c:v>
              </c:pt>
              <c:pt idx="3">
                <c:v>3.5000000000000003E-2</c:v>
              </c:pt>
              <c:pt idx="4">
                <c:v>0.03</c:v>
              </c:pt>
              <c:pt idx="5">
                <c:v>2.5000000000000001E-2</c:v>
              </c:pt>
              <c:pt idx="6">
                <c:v>0.02</c:v>
              </c:pt>
              <c:pt idx="7">
                <c:v>1.4999999999999999E-2</c:v>
              </c:pt>
              <c:pt idx="8">
                <c:v>0.01</c:v>
              </c:pt>
              <c:pt idx="9">
                <c:v>5.0000000000000001E-3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2A8-4137-8C8A-F18C1C965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3892062877545585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2.8'!$E$22:$E$31</c:f>
              <c:numCache>
                <c:formatCode>0.00</c:formatCode>
                <c:ptCount val="10"/>
                <c:pt idx="0">
                  <c:v>8.0975999999999999</c:v>
                </c:pt>
                <c:pt idx="1">
                  <c:v>7.6012000000000004</c:v>
                </c:pt>
                <c:pt idx="2">
                  <c:v>7.1080000000000005</c:v>
                </c:pt>
                <c:pt idx="3">
                  <c:v>6.6175999999999995</c:v>
                </c:pt>
                <c:pt idx="4">
                  <c:v>6.1280000000000001</c:v>
                </c:pt>
                <c:pt idx="5">
                  <c:v>5.6352000000000002</c:v>
                </c:pt>
                <c:pt idx="6">
                  <c:v>5.1487999999999996</c:v>
                </c:pt>
                <c:pt idx="7">
                  <c:v>4.6619999999999999</c:v>
                </c:pt>
                <c:pt idx="8">
                  <c:v>4.1883999999999988</c:v>
                </c:pt>
                <c:pt idx="9">
                  <c:v>3.6983999999999999</c:v>
                </c:pt>
              </c:numCache>
            </c:numRef>
          </c:xVal>
          <c:yVal>
            <c:numRef>
              <c:f>'Step 2.8'!$I$22:$I$31</c:f>
              <c:numCache>
                <c:formatCode>0.00E+00</c:formatCode>
                <c:ptCount val="10"/>
                <c:pt idx="0">
                  <c:v>9.0240000000000008E-3</c:v>
                </c:pt>
                <c:pt idx="1">
                  <c:v>8.9880000000000012E-3</c:v>
                </c:pt>
                <c:pt idx="2">
                  <c:v>8.9199999999999991E-3</c:v>
                </c:pt>
                <c:pt idx="3">
                  <c:v>8.8240000000000002E-3</c:v>
                </c:pt>
                <c:pt idx="4">
                  <c:v>8.7199999999999986E-3</c:v>
                </c:pt>
                <c:pt idx="5">
                  <c:v>8.6479999999999994E-3</c:v>
                </c:pt>
                <c:pt idx="6">
                  <c:v>8.5119999999999987E-3</c:v>
                </c:pt>
                <c:pt idx="7">
                  <c:v>8.3800000000000003E-3</c:v>
                </c:pt>
                <c:pt idx="8">
                  <c:v>8.1160000000000104E-3</c:v>
                </c:pt>
                <c:pt idx="9">
                  <c:v>8.0160000000000006E-3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11-4109-8521-675510099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</a:t>
            </a:r>
            <a:r>
              <a:rPr lang="en-CA" baseline="0"/>
              <a:t> = VE</a:t>
            </a:r>
            <a:r>
              <a:rPr lang="en-CA"/>
              <a:t> = 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814969547917842"/>
                  <c:y val="-0.122126549818518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2.8'!$E$2:$E$11</c:f>
              <c:numCache>
                <c:formatCode>0.00</c:formatCode>
                <c:ptCount val="10"/>
                <c:pt idx="0">
                  <c:v>8.8223999999999894</c:v>
                </c:pt>
                <c:pt idx="1">
                  <c:v>8.3343999999999898</c:v>
                </c:pt>
                <c:pt idx="2">
                  <c:v>7.8351999999999897</c:v>
                </c:pt>
                <c:pt idx="3">
                  <c:v>7.3415999999999997</c:v>
                </c:pt>
                <c:pt idx="4">
                  <c:v>6.8528000000000002</c:v>
                </c:pt>
                <c:pt idx="5">
                  <c:v>6.3620000000000001</c:v>
                </c:pt>
                <c:pt idx="6">
                  <c:v>5.8712</c:v>
                </c:pt>
                <c:pt idx="7">
                  <c:v>5.3879999999999999</c:v>
                </c:pt>
                <c:pt idx="8">
                  <c:v>4.9180000000000001</c:v>
                </c:pt>
                <c:pt idx="9">
                  <c:v>4.4336000000000002</c:v>
                </c:pt>
              </c:numCache>
            </c:numRef>
          </c:xVal>
          <c:yVal>
            <c:numRef>
              <c:f>'Step 2.8'!$I$2:$I$11</c:f>
              <c:numCache>
                <c:formatCode>0.00E+00</c:formatCode>
                <c:ptCount val="10"/>
                <c:pt idx="0">
                  <c:v>1.1776000000000102E-2</c:v>
                </c:pt>
                <c:pt idx="1">
                  <c:v>1.1656000000000102E-2</c:v>
                </c:pt>
                <c:pt idx="2">
                  <c:v>1.1648000000000098E-2</c:v>
                </c:pt>
                <c:pt idx="3">
                  <c:v>1.1583999999999999E-2</c:v>
                </c:pt>
                <c:pt idx="4">
                  <c:v>1.1472E-2</c:v>
                </c:pt>
                <c:pt idx="5">
                  <c:v>1.1379999999999999E-2</c:v>
                </c:pt>
                <c:pt idx="6">
                  <c:v>1.1287999999999999E-2</c:v>
                </c:pt>
                <c:pt idx="7">
                  <c:v>1.1120000000000001E-2</c:v>
                </c:pt>
                <c:pt idx="8">
                  <c:v>1.0820000000000001E-2</c:v>
                </c:pt>
                <c:pt idx="9">
                  <c:v>1.0664E-2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2A-48EB-BAB4-9C841D4CA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 baseline="0"/>
              <a:t> = 4.5V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516079295464239"/>
                  <c:y val="-0.11364918055277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2.8'!$E$12:$E$21</c:f>
              <c:numCache>
                <c:formatCode>0.00</c:formatCode>
                <c:ptCount val="10"/>
                <c:pt idx="0">
                  <c:v>8.450800000000001</c:v>
                </c:pt>
                <c:pt idx="1">
                  <c:v>7.9564000000000004</c:v>
                </c:pt>
                <c:pt idx="2">
                  <c:v>7.4648000000000003</c:v>
                </c:pt>
                <c:pt idx="3">
                  <c:v>6.9752000000000001</c:v>
                </c:pt>
                <c:pt idx="4">
                  <c:v>6.4879999999999995</c:v>
                </c:pt>
                <c:pt idx="5">
                  <c:v>5.9984000000000002</c:v>
                </c:pt>
                <c:pt idx="6">
                  <c:v>5.5091999999999901</c:v>
                </c:pt>
                <c:pt idx="7">
                  <c:v>5.024</c:v>
                </c:pt>
                <c:pt idx="8">
                  <c:v>4.5544000000000002</c:v>
                </c:pt>
                <c:pt idx="9">
                  <c:v>4.0675999999999997</c:v>
                </c:pt>
              </c:numCache>
            </c:numRef>
          </c:xVal>
          <c:yVal>
            <c:numRef>
              <c:f>'Step 2.8'!$I$12:$I$21</c:f>
              <c:numCache>
                <c:formatCode>0.00E+00</c:formatCode>
                <c:ptCount val="10"/>
                <c:pt idx="0">
                  <c:v>1.0492E-2</c:v>
                </c:pt>
                <c:pt idx="1">
                  <c:v>1.0436000000000001E-2</c:v>
                </c:pt>
                <c:pt idx="2">
                  <c:v>1.0352000000000002E-2</c:v>
                </c:pt>
                <c:pt idx="3">
                  <c:v>1.0248E-2</c:v>
                </c:pt>
                <c:pt idx="4">
                  <c:v>1.0120000000000001E-2</c:v>
                </c:pt>
                <c:pt idx="5">
                  <c:v>1.0016000000000001E-2</c:v>
                </c:pt>
                <c:pt idx="6">
                  <c:v>9.908000000000099E-3</c:v>
                </c:pt>
                <c:pt idx="7">
                  <c:v>9.7599999999999996E-3</c:v>
                </c:pt>
                <c:pt idx="8">
                  <c:v>9.4559999999999991E-3</c:v>
                </c:pt>
                <c:pt idx="9">
                  <c:v>9.3240000000000007E-3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0B-4095-B5B6-1F041CA31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2719"/>
        <c:axId val="1283846895"/>
      </c:scatterChart>
      <c:valAx>
        <c:axId val="128385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895"/>
        <c:crosses val="autoZero"/>
        <c:crossBetween val="midCat"/>
      </c:valAx>
      <c:valAx>
        <c:axId val="12838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</a:t>
            </a:r>
            <a:r>
              <a:rPr lang="en-CA" sz="1400" b="0" i="0" u="none" strike="noStrike" baseline="0">
                <a:effectLst/>
              </a:rPr>
              <a:t> = VE </a:t>
            </a:r>
            <a:r>
              <a:rPr lang="en-CA"/>
              <a:t>= 4V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322999754445437"/>
                  <c:y val="-0.134945388327049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2.8'!$E$22:$E$31</c:f>
              <c:numCache>
                <c:formatCode>0.00</c:formatCode>
                <c:ptCount val="10"/>
                <c:pt idx="0">
                  <c:v>8.0975999999999999</c:v>
                </c:pt>
                <c:pt idx="1">
                  <c:v>7.6012000000000004</c:v>
                </c:pt>
                <c:pt idx="2">
                  <c:v>7.1080000000000005</c:v>
                </c:pt>
                <c:pt idx="3">
                  <c:v>6.6175999999999995</c:v>
                </c:pt>
                <c:pt idx="4">
                  <c:v>6.1280000000000001</c:v>
                </c:pt>
                <c:pt idx="5">
                  <c:v>5.6352000000000002</c:v>
                </c:pt>
                <c:pt idx="6">
                  <c:v>5.1487999999999996</c:v>
                </c:pt>
                <c:pt idx="7">
                  <c:v>4.6619999999999999</c:v>
                </c:pt>
                <c:pt idx="8">
                  <c:v>4.1883999999999988</c:v>
                </c:pt>
                <c:pt idx="9">
                  <c:v>3.6983999999999999</c:v>
                </c:pt>
              </c:numCache>
            </c:numRef>
          </c:xVal>
          <c:yVal>
            <c:numRef>
              <c:f>'Step 2.8'!$I$22:$I$31</c:f>
              <c:numCache>
                <c:formatCode>0.00E+00</c:formatCode>
                <c:ptCount val="10"/>
                <c:pt idx="0">
                  <c:v>9.0240000000000008E-3</c:v>
                </c:pt>
                <c:pt idx="1">
                  <c:v>8.9880000000000012E-3</c:v>
                </c:pt>
                <c:pt idx="2">
                  <c:v>8.9199999999999991E-3</c:v>
                </c:pt>
                <c:pt idx="3">
                  <c:v>8.8240000000000002E-3</c:v>
                </c:pt>
                <c:pt idx="4">
                  <c:v>8.7199999999999986E-3</c:v>
                </c:pt>
                <c:pt idx="5">
                  <c:v>8.6479999999999994E-3</c:v>
                </c:pt>
                <c:pt idx="6">
                  <c:v>8.5119999999999987E-3</c:v>
                </c:pt>
                <c:pt idx="7">
                  <c:v>8.3800000000000003E-3</c:v>
                </c:pt>
                <c:pt idx="8">
                  <c:v>8.1160000000000104E-3</c:v>
                </c:pt>
                <c:pt idx="9">
                  <c:v>8.0160000000000006E-3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FC-4076-9C7B-D7511D611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46063"/>
        <c:axId val="1283856047"/>
      </c:scatterChart>
      <c:valAx>
        <c:axId val="128384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047"/>
        <c:crosses val="autoZero"/>
        <c:crossBetween val="midCat"/>
      </c:valAx>
      <c:valAx>
        <c:axId val="12838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110708939207141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2.8'!$E$32:$E$41</c:f>
              <c:numCache>
                <c:formatCode>0.00</c:formatCode>
                <c:ptCount val="10"/>
                <c:pt idx="0">
                  <c:v>7.7416</c:v>
                </c:pt>
                <c:pt idx="1">
                  <c:v>7.2460000000000004</c:v>
                </c:pt>
                <c:pt idx="2">
                  <c:v>6.7523999999999997</c:v>
                </c:pt>
                <c:pt idx="3">
                  <c:v>6.2607999999999997</c:v>
                </c:pt>
                <c:pt idx="4">
                  <c:v>5.7656000000000001</c:v>
                </c:pt>
                <c:pt idx="5">
                  <c:v>5.2744</c:v>
                </c:pt>
                <c:pt idx="6">
                  <c:v>4.7843999999999998</c:v>
                </c:pt>
                <c:pt idx="7">
                  <c:v>4.2948000000000004</c:v>
                </c:pt>
                <c:pt idx="8">
                  <c:v>3.8191999999999999</c:v>
                </c:pt>
                <c:pt idx="9">
                  <c:v>3.3311999999999999</c:v>
                </c:pt>
              </c:numCache>
            </c:numRef>
          </c:xVal>
          <c:yVal>
            <c:numRef>
              <c:f>'Step 2.8'!$I$32:$I$41</c:f>
              <c:numCache>
                <c:formatCode>0.00E+00</c:formatCode>
                <c:ptCount val="10"/>
                <c:pt idx="0">
                  <c:v>7.5839999999999996E-3</c:v>
                </c:pt>
                <c:pt idx="1">
                  <c:v>7.5399999999999998E-3</c:v>
                </c:pt>
                <c:pt idx="2">
                  <c:v>7.4759999999999983E-3</c:v>
                </c:pt>
                <c:pt idx="3">
                  <c:v>7.3919999999999984E-3</c:v>
                </c:pt>
                <c:pt idx="4">
                  <c:v>7.3439999999999998E-3</c:v>
                </c:pt>
                <c:pt idx="5">
                  <c:v>7.2560000000000003E-3</c:v>
                </c:pt>
                <c:pt idx="6">
                  <c:v>7.156E-3</c:v>
                </c:pt>
                <c:pt idx="7">
                  <c:v>7.0520000000000001E-3</c:v>
                </c:pt>
                <c:pt idx="8">
                  <c:v>6.8080000000000007E-3</c:v>
                </c:pt>
                <c:pt idx="9">
                  <c:v>6.6880000000000004E-3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70-460C-8BDE-8F2C68B30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3V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2576964652256821"/>
                  <c:y val="-0.167976853425728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2.8'!$E$42:$E$51</c:f>
              <c:numCache>
                <c:formatCode>0.00</c:formatCode>
                <c:ptCount val="10"/>
                <c:pt idx="0">
                  <c:v>7.3864000000000001</c:v>
                </c:pt>
                <c:pt idx="1">
                  <c:v>6.8899999999999899</c:v>
                </c:pt>
                <c:pt idx="2">
                  <c:v>6.3939999999999895</c:v>
                </c:pt>
                <c:pt idx="3">
                  <c:v>5.9</c:v>
                </c:pt>
                <c:pt idx="4">
                  <c:v>5.4036</c:v>
                </c:pt>
                <c:pt idx="5">
                  <c:v>4.9131999999999998</c:v>
                </c:pt>
                <c:pt idx="6">
                  <c:v>4.42</c:v>
                </c:pt>
                <c:pt idx="7">
                  <c:v>3.9264000000000001</c:v>
                </c:pt>
                <c:pt idx="8">
                  <c:v>3.45</c:v>
                </c:pt>
                <c:pt idx="9">
                  <c:v>2.9580000000000002</c:v>
                </c:pt>
              </c:numCache>
            </c:numRef>
          </c:xVal>
          <c:yVal>
            <c:numRef>
              <c:f>'Step 2.8'!$I$42:$I$51</c:f>
              <c:numCache>
                <c:formatCode>0.00E+00</c:formatCode>
                <c:ptCount val="10"/>
                <c:pt idx="0">
                  <c:v>6.1359999999999991E-3</c:v>
                </c:pt>
                <c:pt idx="1">
                  <c:v>6.100000000000101E-3</c:v>
                </c:pt>
                <c:pt idx="2">
                  <c:v>6.0600000000001009E-3</c:v>
                </c:pt>
                <c:pt idx="3">
                  <c:v>6.000000000000001E-3</c:v>
                </c:pt>
                <c:pt idx="4">
                  <c:v>5.9640000000000006E-3</c:v>
                </c:pt>
                <c:pt idx="5">
                  <c:v>5.868E-3</c:v>
                </c:pt>
                <c:pt idx="6">
                  <c:v>5.8000000000000005E-3</c:v>
                </c:pt>
                <c:pt idx="7">
                  <c:v>5.7359999999999998E-3</c:v>
                </c:pt>
                <c:pt idx="8">
                  <c:v>5.5000000000000005E-3</c:v>
                </c:pt>
                <c:pt idx="9">
                  <c:v>5.4200000000000003E-3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4-48D6-A6F0-FCC178FB6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53663"/>
        <c:axId val="1778956991"/>
      </c:scatterChart>
      <c:valAx>
        <c:axId val="17789536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6991"/>
        <c:crosses val="autoZero"/>
        <c:crossBetween val="midCat"/>
      </c:valAx>
      <c:valAx>
        <c:axId val="177895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3389760196080662"/>
                  <c:y val="-0.114218850480834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2.8'!$E$52:$E$61</c:f>
              <c:numCache>
                <c:formatCode>0.00</c:formatCode>
                <c:ptCount val="10"/>
                <c:pt idx="0">
                  <c:v>7.0207999999999897</c:v>
                </c:pt>
                <c:pt idx="1">
                  <c:v>6.524</c:v>
                </c:pt>
                <c:pt idx="2">
                  <c:v>6.0255999999999998</c:v>
                </c:pt>
                <c:pt idx="3">
                  <c:v>5.5299999999999994</c:v>
                </c:pt>
                <c:pt idx="4">
                  <c:v>5.0339999999999998</c:v>
                </c:pt>
                <c:pt idx="5">
                  <c:v>4.5419999999999998</c:v>
                </c:pt>
                <c:pt idx="6">
                  <c:v>4.0600000000000005</c:v>
                </c:pt>
                <c:pt idx="7">
                  <c:v>3.5680000000000001</c:v>
                </c:pt>
                <c:pt idx="8">
                  <c:v>3.0739999999999998</c:v>
                </c:pt>
                <c:pt idx="9">
                  <c:v>2.5819999999999999</c:v>
                </c:pt>
              </c:numCache>
            </c:numRef>
          </c:xVal>
          <c:yVal>
            <c:numRef>
              <c:f>'Step 2.8'!$I$52:$I$61</c:f>
              <c:numCache>
                <c:formatCode>0.00E+00</c:formatCode>
                <c:ptCount val="10"/>
                <c:pt idx="0">
                  <c:v>4.7920000000001026E-3</c:v>
                </c:pt>
                <c:pt idx="1">
                  <c:v>4.7599999999999995E-3</c:v>
                </c:pt>
                <c:pt idx="2">
                  <c:v>4.7440000000000017E-3</c:v>
                </c:pt>
                <c:pt idx="3">
                  <c:v>4.7000000000000019E-3</c:v>
                </c:pt>
                <c:pt idx="4">
                  <c:v>4.6600000000000018E-3</c:v>
                </c:pt>
                <c:pt idx="5">
                  <c:v>4.5800000000000016E-3</c:v>
                </c:pt>
                <c:pt idx="6">
                  <c:v>4.3999999999999994E-3</c:v>
                </c:pt>
                <c:pt idx="7">
                  <c:v>4.3199999999999992E-3</c:v>
                </c:pt>
                <c:pt idx="8">
                  <c:v>4.2600000000000008E-3</c:v>
                </c:pt>
                <c:pt idx="9">
                  <c:v>4.1799999999999997E-3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4C-43B1-B9A5-1E1C9248A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3892062877545585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2.8'!$E$62:$E$71</c:f>
              <c:numCache>
                <c:formatCode>0.00</c:formatCode>
                <c:ptCount val="10"/>
                <c:pt idx="0">
                  <c:v>6.6547999999999998</c:v>
                </c:pt>
                <c:pt idx="1">
                  <c:v>6.1563999999999997</c:v>
                </c:pt>
                <c:pt idx="2">
                  <c:v>5.6596000000000002</c:v>
                </c:pt>
                <c:pt idx="3">
                  <c:v>5.16</c:v>
                </c:pt>
                <c:pt idx="4">
                  <c:v>4.6627999999999998</c:v>
                </c:pt>
                <c:pt idx="5">
                  <c:v>4.1768000000000001</c:v>
                </c:pt>
                <c:pt idx="6">
                  <c:v>3.6840000000000002</c:v>
                </c:pt>
                <c:pt idx="7">
                  <c:v>3.19</c:v>
                </c:pt>
                <c:pt idx="8">
                  <c:v>2.694</c:v>
                </c:pt>
                <c:pt idx="9">
                  <c:v>2.198</c:v>
                </c:pt>
              </c:numCache>
            </c:numRef>
          </c:xVal>
          <c:yVal>
            <c:numRef>
              <c:f>'Step 2.8'!$I$62:$I$71</c:f>
              <c:numCache>
                <c:formatCode>0.00E+00</c:formatCode>
                <c:ptCount val="10"/>
                <c:pt idx="0">
                  <c:v>3.4520000000000019E-3</c:v>
                </c:pt>
                <c:pt idx="1">
                  <c:v>3.4360000000000033E-3</c:v>
                </c:pt>
                <c:pt idx="2">
                  <c:v>3.4039999999999982E-3</c:v>
                </c:pt>
                <c:pt idx="3">
                  <c:v>3.3999999999999985E-3</c:v>
                </c:pt>
                <c:pt idx="4">
                  <c:v>3.3720000000000017E-3</c:v>
                </c:pt>
                <c:pt idx="5">
                  <c:v>3.2319999999999992E-3</c:v>
                </c:pt>
                <c:pt idx="6">
                  <c:v>3.1600000000000005E-3</c:v>
                </c:pt>
                <c:pt idx="7">
                  <c:v>3.1000000000000003E-3</c:v>
                </c:pt>
                <c:pt idx="8">
                  <c:v>3.0600000000000007E-3</c:v>
                </c:pt>
                <c:pt idx="9">
                  <c:v>3.0200000000000001E-3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A2-4D30-A385-1F2FE484D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1.5V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6209824373455449"/>
                  <c:y val="-0.114794260154767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2.8'!$E$72:$E$81</c:f>
              <c:numCache>
                <c:formatCode>0.00</c:formatCode>
                <c:ptCount val="10"/>
                <c:pt idx="0">
                  <c:v>6.2839999999999998</c:v>
                </c:pt>
                <c:pt idx="1">
                  <c:v>5.7843999999999998</c:v>
                </c:pt>
                <c:pt idx="2">
                  <c:v>5.282</c:v>
                </c:pt>
                <c:pt idx="3">
                  <c:v>4.782</c:v>
                </c:pt>
                <c:pt idx="4">
                  <c:v>4.2959999999999994</c:v>
                </c:pt>
                <c:pt idx="5">
                  <c:v>3.8</c:v>
                </c:pt>
                <c:pt idx="6">
                  <c:v>3.302</c:v>
                </c:pt>
                <c:pt idx="7">
                  <c:v>2.806</c:v>
                </c:pt>
                <c:pt idx="8">
                  <c:v>2.3079999999999998</c:v>
                </c:pt>
                <c:pt idx="9">
                  <c:v>1.8080000000000001</c:v>
                </c:pt>
              </c:numCache>
            </c:numRef>
          </c:xVal>
          <c:yVal>
            <c:numRef>
              <c:f>'Step 2.8'!$I$72:$I$81</c:f>
              <c:numCache>
                <c:formatCode>0.00E+00</c:formatCode>
                <c:ptCount val="10"/>
                <c:pt idx="0">
                  <c:v>2.1600000000000018E-3</c:v>
                </c:pt>
                <c:pt idx="1">
                  <c:v>2.1560000000000025E-3</c:v>
                </c:pt>
                <c:pt idx="2">
                  <c:v>2.1799999999999996E-3</c:v>
                </c:pt>
                <c:pt idx="3">
                  <c:v>2.1799999999999996E-3</c:v>
                </c:pt>
                <c:pt idx="4">
                  <c:v>2.0400000000000019E-3</c:v>
                </c:pt>
                <c:pt idx="5">
                  <c:v>2.0000000000000018E-3</c:v>
                </c:pt>
                <c:pt idx="6">
                  <c:v>1.9799999999999996E-3</c:v>
                </c:pt>
                <c:pt idx="7">
                  <c:v>1.9399999999999995E-3</c:v>
                </c:pt>
                <c:pt idx="8">
                  <c:v>1.9199999999999994E-3</c:v>
                </c:pt>
                <c:pt idx="9">
                  <c:v>1.92E-3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B-4C8C-932F-A06D1CC06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6463"/>
        <c:axId val="1283841903"/>
      </c:scatterChart>
      <c:valAx>
        <c:axId val="12838564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1903"/>
        <c:crosses val="autoZero"/>
        <c:crossBetween val="midCat"/>
      </c:valAx>
      <c:valAx>
        <c:axId val="12838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1V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8181197439010454"/>
                  <c:y val="-0.114794260154767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2.8'!$E$82:$E$91</c:f>
              <c:numCache>
                <c:formatCode>0.00</c:formatCode>
                <c:ptCount val="10"/>
                <c:pt idx="0">
                  <c:v>5.9032</c:v>
                </c:pt>
                <c:pt idx="1">
                  <c:v>5.4020000000000001</c:v>
                </c:pt>
                <c:pt idx="7">
                  <c:v>2.4127999999999901</c:v>
                </c:pt>
                <c:pt idx="8">
                  <c:v>1.9127999999999998</c:v>
                </c:pt>
                <c:pt idx="9">
                  <c:v>1.4144000000000001</c:v>
                </c:pt>
              </c:numCache>
            </c:numRef>
          </c:xVal>
          <c:yVal>
            <c:numRef>
              <c:f>'Step 2.8'!$I$82:$I$91</c:f>
              <c:numCache>
                <c:formatCode>0.00E+00</c:formatCode>
                <c:ptCount val="10"/>
                <c:pt idx="0">
                  <c:v>9.68E-4</c:v>
                </c:pt>
                <c:pt idx="1">
                  <c:v>9.7999999999999867E-4</c:v>
                </c:pt>
                <c:pt idx="2">
                  <c:v>1.0199999999999988E-3</c:v>
                </c:pt>
                <c:pt idx="3">
                  <c:v>1.0000000000000009E-3</c:v>
                </c:pt>
                <c:pt idx="4">
                  <c:v>8.7600000000009892E-4</c:v>
                </c:pt>
                <c:pt idx="5">
                  <c:v>8.5999999999999857E-4</c:v>
                </c:pt>
                <c:pt idx="6">
                  <c:v>8.6000000000000074E-4</c:v>
                </c:pt>
                <c:pt idx="7">
                  <c:v>8.7200000000009937E-4</c:v>
                </c:pt>
                <c:pt idx="8">
                  <c:v>8.720000000000006E-4</c:v>
                </c:pt>
                <c:pt idx="9">
                  <c:v>8.560000000000001E-4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D0-4590-852B-6C14AC645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551"/>
        <c:axId val="1283843151"/>
      </c:scatterChart>
      <c:valAx>
        <c:axId val="128385355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3151"/>
        <c:crosses val="autoZero"/>
        <c:crossBetween val="midCat"/>
      </c:valAx>
      <c:valAx>
        <c:axId val="12838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13" Type="http://schemas.openxmlformats.org/officeDocument/2006/relationships/chart" Target="../charts/chart52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12" Type="http://schemas.openxmlformats.org/officeDocument/2006/relationships/chart" Target="../charts/chart51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11" Type="http://schemas.openxmlformats.org/officeDocument/2006/relationships/chart" Target="../charts/chart50.xml"/><Relationship Id="rId5" Type="http://schemas.openxmlformats.org/officeDocument/2006/relationships/chart" Target="../charts/chart44.xml"/><Relationship Id="rId10" Type="http://schemas.openxmlformats.org/officeDocument/2006/relationships/chart" Target="../charts/chart49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42863</xdr:colOff>
      <xdr:row>10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11</xdr:row>
      <xdr:rowOff>9525</xdr:rowOff>
    </xdr:from>
    <xdr:to>
      <xdr:col>22</xdr:col>
      <xdr:colOff>100013</xdr:colOff>
      <xdr:row>20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109538</xdr:colOff>
      <xdr:row>21</xdr:row>
      <xdr:rowOff>4763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21</xdr:row>
      <xdr:rowOff>19050</xdr:rowOff>
    </xdr:from>
    <xdr:to>
      <xdr:col>22</xdr:col>
      <xdr:colOff>128588</xdr:colOff>
      <xdr:row>30</xdr:row>
      <xdr:rowOff>176213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22</xdr:col>
      <xdr:colOff>42863</xdr:colOff>
      <xdr:row>10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11</xdr:row>
      <xdr:rowOff>0</xdr:rowOff>
    </xdr:from>
    <xdr:to>
      <xdr:col>22</xdr:col>
      <xdr:colOff>61913</xdr:colOff>
      <xdr:row>21</xdr:row>
      <xdr:rowOff>4763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9525</xdr:colOff>
      <xdr:row>21</xdr:row>
      <xdr:rowOff>9525</xdr:rowOff>
    </xdr:from>
    <xdr:to>
      <xdr:col>22</xdr:col>
      <xdr:colOff>80963</xdr:colOff>
      <xdr:row>30</xdr:row>
      <xdr:rowOff>185738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31</xdr:row>
      <xdr:rowOff>9525</xdr:rowOff>
    </xdr:from>
    <xdr:to>
      <xdr:col>22</xdr:col>
      <xdr:colOff>100013</xdr:colOff>
      <xdr:row>40</xdr:row>
      <xdr:rowOff>176213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41</xdr:row>
      <xdr:rowOff>0</xdr:rowOff>
    </xdr:from>
    <xdr:to>
      <xdr:col>22</xdr:col>
      <xdr:colOff>109538</xdr:colOff>
      <xdr:row>50</xdr:row>
      <xdr:rowOff>185738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0</xdr:colOff>
      <xdr:row>51</xdr:row>
      <xdr:rowOff>9525</xdr:rowOff>
    </xdr:from>
    <xdr:to>
      <xdr:col>22</xdr:col>
      <xdr:colOff>109538</xdr:colOff>
      <xdr:row>61</xdr:row>
      <xdr:rowOff>4763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0</xdr:colOff>
      <xdr:row>61</xdr:row>
      <xdr:rowOff>19050</xdr:rowOff>
    </xdr:from>
    <xdr:to>
      <xdr:col>22</xdr:col>
      <xdr:colOff>128588</xdr:colOff>
      <xdr:row>70</xdr:row>
      <xdr:rowOff>176213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0</xdr:colOff>
      <xdr:row>71</xdr:row>
      <xdr:rowOff>0</xdr:rowOff>
    </xdr:from>
    <xdr:to>
      <xdr:col>22</xdr:col>
      <xdr:colOff>138113</xdr:colOff>
      <xdr:row>80</xdr:row>
      <xdr:rowOff>176213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9525</xdr:colOff>
      <xdr:row>81</xdr:row>
      <xdr:rowOff>0</xdr:rowOff>
    </xdr:from>
    <xdr:to>
      <xdr:col>22</xdr:col>
      <xdr:colOff>157163</xdr:colOff>
      <xdr:row>90</xdr:row>
      <xdr:rowOff>176213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0.71268</cdr:x>
      <cdr:y>0.70633</cdr:y>
    </cdr:from>
    <cdr:to>
      <cdr:x>0.92817</cdr:x>
      <cdr:y>0.83797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4188" y="1328738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0.71268</cdr:x>
      <cdr:y>0.70633</cdr:y>
    </cdr:from>
    <cdr:to>
      <cdr:x>0.92817</cdr:x>
      <cdr:y>0.83797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4188" y="1328738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0.71359</cdr:x>
      <cdr:y>0.69493</cdr:y>
    </cdr:from>
    <cdr:to>
      <cdr:x>0.92812</cdr:x>
      <cdr:y>0.8246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41650" y="1327150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0.71869</cdr:x>
      <cdr:y>0.71201</cdr:y>
    </cdr:from>
    <cdr:to>
      <cdr:x>0.93274</cdr:x>
      <cdr:y>0.84299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70225" y="1346200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</xdr:colOff>
      <xdr:row>1</xdr:row>
      <xdr:rowOff>0</xdr:rowOff>
    </xdr:from>
    <xdr:to>
      <xdr:col>22</xdr:col>
      <xdr:colOff>61913</xdr:colOff>
      <xdr:row>10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11</xdr:row>
      <xdr:rowOff>9525</xdr:rowOff>
    </xdr:from>
    <xdr:to>
      <xdr:col>22</xdr:col>
      <xdr:colOff>119063</xdr:colOff>
      <xdr:row>20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</xdr:colOff>
      <xdr:row>21</xdr:row>
      <xdr:rowOff>0</xdr:rowOff>
    </xdr:from>
    <xdr:to>
      <xdr:col>22</xdr:col>
      <xdr:colOff>128588</xdr:colOff>
      <xdr:row>21</xdr:row>
      <xdr:rowOff>4763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19050</xdr:colOff>
      <xdr:row>21</xdr:row>
      <xdr:rowOff>19050</xdr:rowOff>
    </xdr:from>
    <xdr:to>
      <xdr:col>22</xdr:col>
      <xdr:colOff>147638</xdr:colOff>
      <xdr:row>30</xdr:row>
      <xdr:rowOff>176213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19050</xdr:colOff>
      <xdr:row>1</xdr:row>
      <xdr:rowOff>0</xdr:rowOff>
    </xdr:from>
    <xdr:to>
      <xdr:col>22</xdr:col>
      <xdr:colOff>61913</xdr:colOff>
      <xdr:row>10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19050</xdr:colOff>
      <xdr:row>11</xdr:row>
      <xdr:rowOff>0</xdr:rowOff>
    </xdr:from>
    <xdr:to>
      <xdr:col>22</xdr:col>
      <xdr:colOff>80963</xdr:colOff>
      <xdr:row>21</xdr:row>
      <xdr:rowOff>4763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28575</xdr:colOff>
      <xdr:row>21</xdr:row>
      <xdr:rowOff>9525</xdr:rowOff>
    </xdr:from>
    <xdr:to>
      <xdr:col>22</xdr:col>
      <xdr:colOff>100013</xdr:colOff>
      <xdr:row>30</xdr:row>
      <xdr:rowOff>185738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19050</xdr:colOff>
      <xdr:row>31</xdr:row>
      <xdr:rowOff>9525</xdr:rowOff>
    </xdr:from>
    <xdr:to>
      <xdr:col>22</xdr:col>
      <xdr:colOff>119063</xdr:colOff>
      <xdr:row>40</xdr:row>
      <xdr:rowOff>176213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19050</xdr:colOff>
      <xdr:row>41</xdr:row>
      <xdr:rowOff>0</xdr:rowOff>
    </xdr:from>
    <xdr:to>
      <xdr:col>22</xdr:col>
      <xdr:colOff>128588</xdr:colOff>
      <xdr:row>50</xdr:row>
      <xdr:rowOff>185738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19050</xdr:colOff>
      <xdr:row>51</xdr:row>
      <xdr:rowOff>9525</xdr:rowOff>
    </xdr:from>
    <xdr:to>
      <xdr:col>22</xdr:col>
      <xdr:colOff>128588</xdr:colOff>
      <xdr:row>61</xdr:row>
      <xdr:rowOff>4763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19050</xdr:colOff>
      <xdr:row>61</xdr:row>
      <xdr:rowOff>19050</xdr:rowOff>
    </xdr:from>
    <xdr:to>
      <xdr:col>22</xdr:col>
      <xdr:colOff>147638</xdr:colOff>
      <xdr:row>70</xdr:row>
      <xdr:rowOff>176213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19050</xdr:colOff>
      <xdr:row>71</xdr:row>
      <xdr:rowOff>0</xdr:rowOff>
    </xdr:from>
    <xdr:to>
      <xdr:col>22</xdr:col>
      <xdr:colOff>157163</xdr:colOff>
      <xdr:row>80</xdr:row>
      <xdr:rowOff>176213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28575</xdr:colOff>
      <xdr:row>81</xdr:row>
      <xdr:rowOff>0</xdr:rowOff>
    </xdr:from>
    <xdr:to>
      <xdr:col>22</xdr:col>
      <xdr:colOff>176213</xdr:colOff>
      <xdr:row>90</xdr:row>
      <xdr:rowOff>176213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0.71268</cdr:x>
      <cdr:y>0.70633</cdr:y>
    </cdr:from>
    <cdr:to>
      <cdr:x>0.92817</cdr:x>
      <cdr:y>0.83797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4188" y="1328738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0.71268</cdr:x>
      <cdr:y>0.70633</cdr:y>
    </cdr:from>
    <cdr:to>
      <cdr:x>0.92817</cdr:x>
      <cdr:y>0.83797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4188" y="1328738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0.71359</cdr:x>
      <cdr:y>0.69493</cdr:y>
    </cdr:from>
    <cdr:to>
      <cdr:x>0.92812</cdr:x>
      <cdr:y>0.8246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41650" y="1327150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0.71869</cdr:x>
      <cdr:y>0.71201</cdr:y>
    </cdr:from>
    <cdr:to>
      <cdr:x>0.93274</cdr:x>
      <cdr:y>0.84299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70225" y="1346200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42863</xdr:colOff>
      <xdr:row>10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11</xdr:row>
      <xdr:rowOff>9525</xdr:rowOff>
    </xdr:from>
    <xdr:to>
      <xdr:col>22</xdr:col>
      <xdr:colOff>100013</xdr:colOff>
      <xdr:row>20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109538</xdr:colOff>
      <xdr:row>21</xdr:row>
      <xdr:rowOff>4763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21</xdr:row>
      <xdr:rowOff>19050</xdr:rowOff>
    </xdr:from>
    <xdr:to>
      <xdr:col>22</xdr:col>
      <xdr:colOff>128588</xdr:colOff>
      <xdr:row>30</xdr:row>
      <xdr:rowOff>176213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22</xdr:col>
      <xdr:colOff>42863</xdr:colOff>
      <xdr:row>10</xdr:row>
      <xdr:rowOff>166688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11</xdr:row>
      <xdr:rowOff>0</xdr:rowOff>
    </xdr:from>
    <xdr:to>
      <xdr:col>22</xdr:col>
      <xdr:colOff>61913</xdr:colOff>
      <xdr:row>21</xdr:row>
      <xdr:rowOff>4763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9525</xdr:colOff>
      <xdr:row>21</xdr:row>
      <xdr:rowOff>9525</xdr:rowOff>
    </xdr:from>
    <xdr:to>
      <xdr:col>22</xdr:col>
      <xdr:colOff>80963</xdr:colOff>
      <xdr:row>30</xdr:row>
      <xdr:rowOff>185738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31</xdr:row>
      <xdr:rowOff>9525</xdr:rowOff>
    </xdr:from>
    <xdr:to>
      <xdr:col>22</xdr:col>
      <xdr:colOff>100013</xdr:colOff>
      <xdr:row>40</xdr:row>
      <xdr:rowOff>176213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41</xdr:row>
      <xdr:rowOff>0</xdr:rowOff>
    </xdr:from>
    <xdr:to>
      <xdr:col>22</xdr:col>
      <xdr:colOff>109538</xdr:colOff>
      <xdr:row>50</xdr:row>
      <xdr:rowOff>185738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0</xdr:colOff>
      <xdr:row>51</xdr:row>
      <xdr:rowOff>9525</xdr:rowOff>
    </xdr:from>
    <xdr:to>
      <xdr:col>22</xdr:col>
      <xdr:colOff>109538</xdr:colOff>
      <xdr:row>61</xdr:row>
      <xdr:rowOff>4763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0</xdr:colOff>
      <xdr:row>61</xdr:row>
      <xdr:rowOff>19050</xdr:rowOff>
    </xdr:from>
    <xdr:to>
      <xdr:col>22</xdr:col>
      <xdr:colOff>128588</xdr:colOff>
      <xdr:row>70</xdr:row>
      <xdr:rowOff>176213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0</xdr:colOff>
      <xdr:row>71</xdr:row>
      <xdr:rowOff>0</xdr:rowOff>
    </xdr:from>
    <xdr:to>
      <xdr:col>22</xdr:col>
      <xdr:colOff>138113</xdr:colOff>
      <xdr:row>80</xdr:row>
      <xdr:rowOff>176213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9525</xdr:colOff>
      <xdr:row>81</xdr:row>
      <xdr:rowOff>0</xdr:rowOff>
    </xdr:from>
    <xdr:to>
      <xdr:col>22</xdr:col>
      <xdr:colOff>157163</xdr:colOff>
      <xdr:row>90</xdr:row>
      <xdr:rowOff>176213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0.01197</cdr:x>
      <cdr:y>0.027</cdr:y>
    </cdr:from>
    <cdr:to>
      <cdr:x>0.22746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0.01181</cdr:x>
      <cdr:y>0.027</cdr:y>
    </cdr:from>
    <cdr:to>
      <cdr:x>0.22444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0.01173</cdr:x>
      <cdr:y>0.02714</cdr:y>
    </cdr:from>
    <cdr:to>
      <cdr:x>0.22296</cdr:x>
      <cdr:y>0.15945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0.01197</cdr:x>
      <cdr:y>0.027</cdr:y>
    </cdr:from>
    <cdr:to>
      <cdr:x>0.22746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0.01192</cdr:x>
      <cdr:y>0.0266</cdr:y>
    </cdr:from>
    <cdr:to>
      <cdr:x>0.22645</cdr:x>
      <cdr:y>0.15627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21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0.01189</cdr:x>
      <cdr:y>0.02687</cdr:y>
    </cdr:from>
    <cdr:to>
      <cdr:x>0.22594</cdr:x>
      <cdr:y>0.15785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0.01181</cdr:x>
      <cdr:y>0.027</cdr:y>
    </cdr:from>
    <cdr:to>
      <cdr:x>0.22444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0.01173</cdr:x>
      <cdr:y>0.02714</cdr:y>
    </cdr:from>
    <cdr:to>
      <cdr:x>0.22296</cdr:x>
      <cdr:y>0.15945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0.01171</cdr:x>
      <cdr:y>0.02687</cdr:y>
    </cdr:from>
    <cdr:to>
      <cdr:x>0.22247</cdr:x>
      <cdr:y>0.15784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0.01168</cdr:x>
      <cdr:y>0.02687</cdr:y>
    </cdr:from>
    <cdr:to>
      <cdr:x>0.22198</cdr:x>
      <cdr:y>0.15784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</xdr:colOff>
      <xdr:row>1</xdr:row>
      <xdr:rowOff>0</xdr:rowOff>
    </xdr:from>
    <xdr:to>
      <xdr:col>22</xdr:col>
      <xdr:colOff>61913</xdr:colOff>
      <xdr:row>10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11</xdr:row>
      <xdr:rowOff>9525</xdr:rowOff>
    </xdr:from>
    <xdr:to>
      <xdr:col>22</xdr:col>
      <xdr:colOff>119063</xdr:colOff>
      <xdr:row>20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</xdr:colOff>
      <xdr:row>21</xdr:row>
      <xdr:rowOff>0</xdr:rowOff>
    </xdr:from>
    <xdr:to>
      <xdr:col>22</xdr:col>
      <xdr:colOff>128588</xdr:colOff>
      <xdr:row>21</xdr:row>
      <xdr:rowOff>4763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19050</xdr:colOff>
      <xdr:row>21</xdr:row>
      <xdr:rowOff>19050</xdr:rowOff>
    </xdr:from>
    <xdr:to>
      <xdr:col>22</xdr:col>
      <xdr:colOff>147638</xdr:colOff>
      <xdr:row>30</xdr:row>
      <xdr:rowOff>176213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19050</xdr:colOff>
      <xdr:row>1</xdr:row>
      <xdr:rowOff>0</xdr:rowOff>
    </xdr:from>
    <xdr:to>
      <xdr:col>22</xdr:col>
      <xdr:colOff>61913</xdr:colOff>
      <xdr:row>10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19050</xdr:colOff>
      <xdr:row>11</xdr:row>
      <xdr:rowOff>0</xdr:rowOff>
    </xdr:from>
    <xdr:to>
      <xdr:col>22</xdr:col>
      <xdr:colOff>80963</xdr:colOff>
      <xdr:row>21</xdr:row>
      <xdr:rowOff>4763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28575</xdr:colOff>
      <xdr:row>21</xdr:row>
      <xdr:rowOff>9525</xdr:rowOff>
    </xdr:from>
    <xdr:to>
      <xdr:col>22</xdr:col>
      <xdr:colOff>100013</xdr:colOff>
      <xdr:row>30</xdr:row>
      <xdr:rowOff>185738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19050</xdr:colOff>
      <xdr:row>31</xdr:row>
      <xdr:rowOff>9525</xdr:rowOff>
    </xdr:from>
    <xdr:to>
      <xdr:col>22</xdr:col>
      <xdr:colOff>119063</xdr:colOff>
      <xdr:row>40</xdr:row>
      <xdr:rowOff>176213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19050</xdr:colOff>
      <xdr:row>41</xdr:row>
      <xdr:rowOff>0</xdr:rowOff>
    </xdr:from>
    <xdr:to>
      <xdr:col>22</xdr:col>
      <xdr:colOff>128588</xdr:colOff>
      <xdr:row>50</xdr:row>
      <xdr:rowOff>185738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19050</xdr:colOff>
      <xdr:row>51</xdr:row>
      <xdr:rowOff>9525</xdr:rowOff>
    </xdr:from>
    <xdr:to>
      <xdr:col>22</xdr:col>
      <xdr:colOff>128588</xdr:colOff>
      <xdr:row>61</xdr:row>
      <xdr:rowOff>4763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19050</xdr:colOff>
      <xdr:row>61</xdr:row>
      <xdr:rowOff>19050</xdr:rowOff>
    </xdr:from>
    <xdr:to>
      <xdr:col>22</xdr:col>
      <xdr:colOff>147638</xdr:colOff>
      <xdr:row>70</xdr:row>
      <xdr:rowOff>176213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19050</xdr:colOff>
      <xdr:row>71</xdr:row>
      <xdr:rowOff>0</xdr:rowOff>
    </xdr:from>
    <xdr:to>
      <xdr:col>22</xdr:col>
      <xdr:colOff>157163</xdr:colOff>
      <xdr:row>80</xdr:row>
      <xdr:rowOff>176213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28575</xdr:colOff>
      <xdr:row>81</xdr:row>
      <xdr:rowOff>0</xdr:rowOff>
    </xdr:from>
    <xdr:to>
      <xdr:col>22</xdr:col>
      <xdr:colOff>176213</xdr:colOff>
      <xdr:row>90</xdr:row>
      <xdr:rowOff>176213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0.01197</cdr:x>
      <cdr:y>0.027</cdr:y>
    </cdr:from>
    <cdr:to>
      <cdr:x>0.22746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0.01181</cdr:x>
      <cdr:y>0.027</cdr:y>
    </cdr:from>
    <cdr:to>
      <cdr:x>0.22444</cdr:x>
      <cdr:y>0.15865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0.01173</cdr:x>
      <cdr:y>0.02714</cdr:y>
    </cdr:from>
    <cdr:to>
      <cdr:x>0.22296</cdr:x>
      <cdr:y>0.15945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0.01197</cdr:x>
      <cdr:y>0.027</cdr:y>
    </cdr:from>
    <cdr:to>
      <cdr:x>0.22746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0.01192</cdr:x>
      <cdr:y>0.0266</cdr:y>
    </cdr:from>
    <cdr:to>
      <cdr:x>0.22645</cdr:x>
      <cdr:y>0.15627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21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0.01189</cdr:x>
      <cdr:y>0.02687</cdr:y>
    </cdr:from>
    <cdr:to>
      <cdr:x>0.22594</cdr:x>
      <cdr:y>0.15785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0.01181</cdr:x>
      <cdr:y>0.027</cdr:y>
    </cdr:from>
    <cdr:to>
      <cdr:x>0.22444</cdr:x>
      <cdr:y>0.15865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0.01173</cdr:x>
      <cdr:y>0.02714</cdr:y>
    </cdr:from>
    <cdr:to>
      <cdr:x>0.22296</cdr:x>
      <cdr:y>0.15945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0.01171</cdr:x>
      <cdr:y>0.02687</cdr:y>
    </cdr:from>
    <cdr:to>
      <cdr:x>0.22247</cdr:x>
      <cdr:y>0.15785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0.01168</cdr:x>
      <cdr:y>0.02687</cdr:y>
    </cdr:from>
    <cdr:to>
      <cdr:x>0.22198</cdr:x>
      <cdr:y>0.15785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zoomScaleNormal="100" workbookViewId="0">
      <selection activeCell="I72" sqref="I72"/>
    </sheetView>
  </sheetViews>
  <sheetFormatPr defaultColWidth="9" defaultRowHeight="14.4" x14ac:dyDescent="0.3"/>
  <cols>
    <col min="1" max="1" width="8.88671875" style="1" bestFit="1" customWidth="1"/>
    <col min="2" max="2" width="8.5546875" style="1" bestFit="1" customWidth="1"/>
    <col min="3" max="4" width="12.88671875" style="4" bestFit="1" customWidth="1"/>
    <col min="5" max="5" width="10" style="1" bestFit="1" customWidth="1"/>
    <col min="6" max="6" width="12.21875" style="1" bestFit="1" customWidth="1"/>
    <col min="7" max="8" width="9.109375" style="1" bestFit="1" customWidth="1"/>
    <col min="9" max="9" width="8.21875" style="2" bestFit="1" customWidth="1"/>
    <col min="10" max="10" width="8.5546875" style="2" bestFit="1" customWidth="1"/>
    <col min="11" max="11" width="8.109375" style="3" bestFit="1" customWidth="1"/>
    <col min="12" max="12" width="10.5546875" style="3" bestFit="1" customWidth="1"/>
    <col min="13" max="13" width="9" style="3" bestFit="1" customWidth="1"/>
    <col min="14" max="14" width="13.21875" style="2" bestFit="1" customWidth="1"/>
    <col min="15" max="15" width="11.77734375" style="3" bestFit="1" customWidth="1"/>
    <col min="16" max="16384" width="9" style="1"/>
  </cols>
  <sheetData>
    <row r="1" spans="1:15" x14ac:dyDescent="0.3">
      <c r="A1" s="6" t="s">
        <v>13</v>
      </c>
      <c r="B1" s="6" t="s">
        <v>14</v>
      </c>
      <c r="C1" s="8" t="s">
        <v>6</v>
      </c>
      <c r="D1" s="8" t="s">
        <v>7</v>
      </c>
      <c r="E1" s="6" t="s">
        <v>8</v>
      </c>
      <c r="F1" s="6" t="s">
        <v>15</v>
      </c>
      <c r="G1" s="6" t="s">
        <v>2</v>
      </c>
      <c r="H1" s="6" t="s">
        <v>3</v>
      </c>
      <c r="I1" s="10" t="s">
        <v>4</v>
      </c>
      <c r="J1" s="10" t="s">
        <v>5</v>
      </c>
      <c r="K1" s="9" t="s">
        <v>21</v>
      </c>
      <c r="L1" s="9" t="s">
        <v>9</v>
      </c>
      <c r="M1" s="9" t="s">
        <v>12</v>
      </c>
      <c r="N1" s="10" t="s">
        <v>10</v>
      </c>
      <c r="O1" s="9" t="s">
        <v>11</v>
      </c>
    </row>
    <row r="2" spans="1:15" x14ac:dyDescent="0.3">
      <c r="A2" s="11">
        <v>0.5</v>
      </c>
      <c r="B2" s="11">
        <v>-5</v>
      </c>
      <c r="C2" s="52">
        <v>-5.8052830794232901E-2</v>
      </c>
      <c r="D2" s="52">
        <v>-4.3063322518605496</v>
      </c>
      <c r="E2" s="14">
        <f t="shared" ref="E2:E65" si="0">C2-B2</f>
        <v>4.9419471692057675</v>
      </c>
      <c r="F2" s="14">
        <f t="shared" ref="F2:F65" si="1">D2-B2</f>
        <v>0.69366774813945042</v>
      </c>
      <c r="G2" s="11">
        <v>100</v>
      </c>
      <c r="H2" s="15">
        <v>100000</v>
      </c>
      <c r="I2" s="15">
        <f t="shared" ref="I2:I65" si="2">(A2-C2)/G2</f>
        <v>5.5805283079423292E-3</v>
      </c>
      <c r="J2" s="15">
        <f t="shared" ref="J2:J65" si="3">(0-D2)/H2</f>
        <v>4.3063322518605495E-5</v>
      </c>
      <c r="K2" s="16">
        <f t="shared" ref="K2:K65" si="4">I2/J2</f>
        <v>129.58889332171859</v>
      </c>
      <c r="L2" s="17">
        <v>933</v>
      </c>
      <c r="M2" s="18">
        <f>L2/I2</f>
        <v>167188.47186423803</v>
      </c>
      <c r="N2" s="15">
        <f t="shared" ref="N2:N65" si="5">I2/0.025</f>
        <v>0.22322113231769317</v>
      </c>
      <c r="O2" s="16">
        <f t="shared" ref="O2:O65" si="6">0.025/J2</f>
        <v>580.54043529035084</v>
      </c>
    </row>
    <row r="3" spans="1:15" x14ac:dyDescent="0.3">
      <c r="A3" s="11">
        <v>1</v>
      </c>
      <c r="B3" s="11">
        <v>-5</v>
      </c>
      <c r="C3" s="52">
        <v>0.44164747065033699</v>
      </c>
      <c r="D3" s="52">
        <v>-4.3063322515563804</v>
      </c>
      <c r="E3" s="14">
        <f t="shared" si="0"/>
        <v>5.441647470650337</v>
      </c>
      <c r="F3" s="14">
        <f t="shared" si="1"/>
        <v>0.69366774844361956</v>
      </c>
      <c r="G3" s="11">
        <v>100</v>
      </c>
      <c r="H3" s="15">
        <v>100000</v>
      </c>
      <c r="I3" s="15">
        <f t="shared" si="2"/>
        <v>5.5835252934966296E-3</v>
      </c>
      <c r="J3" s="15">
        <f t="shared" si="3"/>
        <v>4.3063322515563807E-5</v>
      </c>
      <c r="K3" s="16">
        <f t="shared" si="4"/>
        <v>129.65848818280685</v>
      </c>
      <c r="L3" s="19"/>
      <c r="M3" s="18">
        <f>L2/I3</f>
        <v>167098.7326029856</v>
      </c>
      <c r="N3" s="15">
        <f t="shared" si="5"/>
        <v>0.22334101173986518</v>
      </c>
      <c r="O3" s="16">
        <f t="shared" si="6"/>
        <v>580.54043533135609</v>
      </c>
    </row>
    <row r="4" spans="1:15" x14ac:dyDescent="0.3">
      <c r="A4" s="11">
        <v>1.5</v>
      </c>
      <c r="B4" s="11">
        <v>-5</v>
      </c>
      <c r="C4" s="52">
        <v>0.941347772008443</v>
      </c>
      <c r="D4" s="52">
        <v>-4.3063322512192999</v>
      </c>
      <c r="E4" s="14">
        <f t="shared" si="0"/>
        <v>5.9413477720084433</v>
      </c>
      <c r="F4" s="14">
        <f t="shared" si="1"/>
        <v>0.69366774878070014</v>
      </c>
      <c r="G4" s="11">
        <v>100</v>
      </c>
      <c r="H4" s="15">
        <v>100000</v>
      </c>
      <c r="I4" s="15">
        <f t="shared" si="2"/>
        <v>5.5865222799155699E-3</v>
      </c>
      <c r="J4" s="15">
        <f t="shared" si="3"/>
        <v>4.3063322512193002E-5</v>
      </c>
      <c r="K4" s="16">
        <f t="shared" si="4"/>
        <v>129.72808306497473</v>
      </c>
      <c r="L4" s="19"/>
      <c r="M4" s="18">
        <f>L2/I4</f>
        <v>167009.089600212</v>
      </c>
      <c r="N4" s="15">
        <f t="shared" si="5"/>
        <v>0.2234608911966228</v>
      </c>
      <c r="O4" s="16">
        <f t="shared" si="6"/>
        <v>580.5404353767982</v>
      </c>
    </row>
    <row r="5" spans="1:15" x14ac:dyDescent="0.3">
      <c r="A5" s="11">
        <v>2</v>
      </c>
      <c r="B5" s="11">
        <v>-5</v>
      </c>
      <c r="C5" s="52">
        <v>1.4410480732761</v>
      </c>
      <c r="D5" s="52">
        <v>-4.3063322508489996</v>
      </c>
      <c r="E5" s="14">
        <f t="shared" si="0"/>
        <v>6.4410480732761002</v>
      </c>
      <c r="F5" s="14">
        <f t="shared" si="1"/>
        <v>0.69366774915100038</v>
      </c>
      <c r="G5" s="11">
        <v>100</v>
      </c>
      <c r="H5" s="15">
        <v>100000</v>
      </c>
      <c r="I5" s="15">
        <f t="shared" si="2"/>
        <v>5.5895192672390003E-3</v>
      </c>
      <c r="J5" s="15">
        <f t="shared" si="3"/>
        <v>4.3063322508489997E-5</v>
      </c>
      <c r="K5" s="16">
        <f t="shared" si="4"/>
        <v>129.79767796915851</v>
      </c>
      <c r="L5" s="19"/>
      <c r="M5" s="18">
        <f>L2/I5</f>
        <v>166919.54269993326</v>
      </c>
      <c r="N5" s="15">
        <f t="shared" si="5"/>
        <v>0.22358077068956</v>
      </c>
      <c r="O5" s="16">
        <f t="shared" si="6"/>
        <v>580.54043542671877</v>
      </c>
    </row>
    <row r="6" spans="1:15" x14ac:dyDescent="0.3">
      <c r="A6" s="11">
        <v>2.5</v>
      </c>
      <c r="B6" s="11">
        <v>-5</v>
      </c>
      <c r="C6" s="52">
        <v>1.94074837445808</v>
      </c>
      <c r="D6" s="52">
        <v>-4.3063322504458696</v>
      </c>
      <c r="E6" s="14">
        <f t="shared" si="0"/>
        <v>6.9407483744580798</v>
      </c>
      <c r="F6" s="14">
        <f t="shared" si="1"/>
        <v>0.69366774955413035</v>
      </c>
      <c r="G6" s="11">
        <v>100</v>
      </c>
      <c r="H6" s="15">
        <v>100000</v>
      </c>
      <c r="I6" s="15">
        <f t="shared" si="2"/>
        <v>5.5925162554192002E-3</v>
      </c>
      <c r="J6" s="15">
        <f t="shared" si="3"/>
        <v>4.3063322504458696E-5</v>
      </c>
      <c r="K6" s="16">
        <f t="shared" si="4"/>
        <v>129.8672728942399</v>
      </c>
      <c r="L6" s="19"/>
      <c r="M6" s="18">
        <f>L2/I6</f>
        <v>166830.0917491146</v>
      </c>
      <c r="N6" s="15">
        <f t="shared" si="5"/>
        <v>0.22370065021676799</v>
      </c>
      <c r="O6" s="16">
        <f t="shared" si="6"/>
        <v>580.54043548106506</v>
      </c>
    </row>
    <row r="7" spans="1:15" x14ac:dyDescent="0.3">
      <c r="A7" s="11">
        <v>3</v>
      </c>
      <c r="B7" s="11">
        <v>-5</v>
      </c>
      <c r="C7" s="52">
        <v>2.4404486755478101</v>
      </c>
      <c r="D7" s="52">
        <v>-4.3063322500093903</v>
      </c>
      <c r="E7" s="14">
        <f t="shared" si="0"/>
        <v>7.4404486755478096</v>
      </c>
      <c r="F7" s="14">
        <f t="shared" si="1"/>
        <v>0.69366774999060965</v>
      </c>
      <c r="G7" s="11">
        <v>100</v>
      </c>
      <c r="H7" s="15">
        <v>100000</v>
      </c>
      <c r="I7" s="15">
        <f t="shared" si="2"/>
        <v>5.5955132445218991E-3</v>
      </c>
      <c r="J7" s="15">
        <f t="shared" si="3"/>
        <v>4.3063322500093902E-5</v>
      </c>
      <c r="K7" s="16">
        <f t="shared" si="4"/>
        <v>129.93686784176251</v>
      </c>
      <c r="L7" s="19"/>
      <c r="M7" s="18">
        <f>L2/I7</f>
        <v>166740.73659166522</v>
      </c>
      <c r="N7" s="15">
        <f t="shared" si="5"/>
        <v>0.22382052978087597</v>
      </c>
      <c r="O7" s="16">
        <f t="shared" si="6"/>
        <v>580.54043553990721</v>
      </c>
    </row>
    <row r="8" spans="1:15" x14ac:dyDescent="0.3">
      <c r="A8" s="11">
        <v>3.5</v>
      </c>
      <c r="B8" s="11">
        <v>-5</v>
      </c>
      <c r="C8" s="52">
        <v>2.9401489765510398</v>
      </c>
      <c r="D8" s="52">
        <v>-4.3063322495400298</v>
      </c>
      <c r="E8" s="14">
        <f t="shared" si="0"/>
        <v>7.9401489765510398</v>
      </c>
      <c r="F8" s="14">
        <f t="shared" si="1"/>
        <v>0.6936677504599702</v>
      </c>
      <c r="G8" s="11">
        <v>100</v>
      </c>
      <c r="H8" s="15">
        <v>100000</v>
      </c>
      <c r="I8" s="15">
        <f t="shared" si="2"/>
        <v>5.5985102344896023E-3</v>
      </c>
      <c r="J8" s="15">
        <f t="shared" si="3"/>
        <v>4.3063322495400296E-5</v>
      </c>
      <c r="K8" s="16">
        <f t="shared" si="4"/>
        <v>130.00646281037868</v>
      </c>
      <c r="L8" s="19"/>
      <c r="M8" s="18">
        <f>L2/I8</f>
        <v>166651.4770755007</v>
      </c>
      <c r="N8" s="15">
        <f t="shared" si="5"/>
        <v>0.22394040937958409</v>
      </c>
      <c r="O8" s="16">
        <f t="shared" si="6"/>
        <v>580.54043560318212</v>
      </c>
    </row>
    <row r="9" spans="1:15" x14ac:dyDescent="0.3">
      <c r="A9" s="11">
        <v>4</v>
      </c>
      <c r="B9" s="11">
        <v>-5</v>
      </c>
      <c r="C9" s="52">
        <v>3.4398492774660299</v>
      </c>
      <c r="D9" s="52">
        <v>-4.3063322490376503</v>
      </c>
      <c r="E9" s="14">
        <f t="shared" si="0"/>
        <v>8.4398492774660294</v>
      </c>
      <c r="F9" s="14">
        <f t="shared" si="1"/>
        <v>0.69366775096234967</v>
      </c>
      <c r="G9" s="11">
        <v>100</v>
      </c>
      <c r="H9" s="15">
        <v>100000</v>
      </c>
      <c r="I9" s="15">
        <f t="shared" si="2"/>
        <v>5.6015072253397013E-3</v>
      </c>
      <c r="J9" s="15">
        <f t="shared" si="3"/>
        <v>4.3063322490376503E-5</v>
      </c>
      <c r="K9" s="16">
        <f t="shared" si="4"/>
        <v>130.07605780049803</v>
      </c>
      <c r="L9" s="19"/>
      <c r="M9" s="18">
        <f>L2/I9</f>
        <v>166562.31304663158</v>
      </c>
      <c r="N9" s="15">
        <f t="shared" si="5"/>
        <v>0.22406028901358804</v>
      </c>
      <c r="O9" s="16">
        <f t="shared" si="6"/>
        <v>580.54043567090832</v>
      </c>
    </row>
    <row r="10" spans="1:15" x14ac:dyDescent="0.3">
      <c r="A10" s="11">
        <v>4.5</v>
      </c>
      <c r="B10" s="11">
        <v>-5</v>
      </c>
      <c r="C10" s="52">
        <v>3.9395495782908498</v>
      </c>
      <c r="D10" s="52">
        <v>-4.3063322485021303</v>
      </c>
      <c r="E10" s="14">
        <f t="shared" si="0"/>
        <v>8.9395495782908494</v>
      </c>
      <c r="F10" s="14">
        <f t="shared" si="1"/>
        <v>0.69366775149786974</v>
      </c>
      <c r="G10" s="11">
        <v>100</v>
      </c>
      <c r="H10" s="15">
        <v>100000</v>
      </c>
      <c r="I10" s="15">
        <f t="shared" si="2"/>
        <v>5.6045042170915016E-3</v>
      </c>
      <c r="J10" s="15">
        <f t="shared" si="3"/>
        <v>4.3063322485021303E-5</v>
      </c>
      <c r="K10" s="16">
        <f t="shared" si="4"/>
        <v>130.14565281257418</v>
      </c>
      <c r="L10" s="19"/>
      <c r="M10" s="18">
        <f>L2/I10</f>
        <v>166473.24435134197</v>
      </c>
      <c r="N10" s="15">
        <f t="shared" si="5"/>
        <v>0.22418016868366006</v>
      </c>
      <c r="O10" s="16">
        <f t="shared" si="6"/>
        <v>580.54043574310231</v>
      </c>
    </row>
    <row r="11" spans="1:15" x14ac:dyDescent="0.3">
      <c r="A11" s="11">
        <v>5</v>
      </c>
      <c r="B11" s="11">
        <v>-5</v>
      </c>
      <c r="C11" s="52">
        <v>4.4392498790272104</v>
      </c>
      <c r="D11" s="52">
        <v>-4.3063322479336099</v>
      </c>
      <c r="E11" s="14">
        <f t="shared" si="0"/>
        <v>9.4392498790272104</v>
      </c>
      <c r="F11" s="14">
        <f t="shared" si="1"/>
        <v>0.69366775206639009</v>
      </c>
      <c r="G11" s="11">
        <v>100</v>
      </c>
      <c r="H11" s="15">
        <v>100000</v>
      </c>
      <c r="I11" s="15">
        <f t="shared" si="2"/>
        <v>5.6075012097278965E-3</v>
      </c>
      <c r="J11" s="15">
        <f t="shared" si="3"/>
        <v>4.3063322479336099E-5</v>
      </c>
      <c r="K11" s="16">
        <f t="shared" si="4"/>
        <v>130.21524784620721</v>
      </c>
      <c r="L11" s="19"/>
      <c r="M11" s="18">
        <f>L2/I11</f>
        <v>166384.2708373261</v>
      </c>
      <c r="N11" s="15">
        <f t="shared" si="5"/>
        <v>0.22430004838911585</v>
      </c>
      <c r="O11" s="16">
        <f t="shared" si="6"/>
        <v>580.54043581974497</v>
      </c>
    </row>
    <row r="12" spans="1:15" x14ac:dyDescent="0.3">
      <c r="A12" s="20">
        <v>0.5</v>
      </c>
      <c r="B12" s="20">
        <v>-4.5</v>
      </c>
      <c r="C12" s="49">
        <v>2.7908892329878599E-3</v>
      </c>
      <c r="D12" s="49">
        <v>-3.8116174199141701</v>
      </c>
      <c r="E12" s="23">
        <f t="shared" si="0"/>
        <v>4.5027908892329878</v>
      </c>
      <c r="F12" s="23">
        <f t="shared" si="1"/>
        <v>0.68838258008582986</v>
      </c>
      <c r="G12" s="20">
        <v>100</v>
      </c>
      <c r="H12" s="24">
        <v>100000</v>
      </c>
      <c r="I12" s="24">
        <f t="shared" si="2"/>
        <v>4.9720911076701216E-3</v>
      </c>
      <c r="J12" s="24">
        <f t="shared" si="3"/>
        <v>3.8116174199141703E-5</v>
      </c>
      <c r="K12" s="25">
        <f t="shared" si="4"/>
        <v>130.44570217600912</v>
      </c>
      <c r="L12" s="26">
        <v>980</v>
      </c>
      <c r="M12" s="27">
        <f>L12/I12</f>
        <v>197100.16948165285</v>
      </c>
      <c r="N12" s="24">
        <f t="shared" si="5"/>
        <v>0.19888364430680486</v>
      </c>
      <c r="O12" s="25">
        <f t="shared" si="6"/>
        <v>655.88954099603598</v>
      </c>
    </row>
    <row r="13" spans="1:15" x14ac:dyDescent="0.3">
      <c r="A13" s="20">
        <v>1</v>
      </c>
      <c r="B13" s="20">
        <v>-4.5</v>
      </c>
      <c r="C13" s="49">
        <v>0.50252388516147595</v>
      </c>
      <c r="D13" s="49">
        <v>-3.8116174197753798</v>
      </c>
      <c r="E13" s="23">
        <f t="shared" si="0"/>
        <v>5.0025238851614757</v>
      </c>
      <c r="F13" s="23">
        <f t="shared" si="1"/>
        <v>0.68838258022462018</v>
      </c>
      <c r="G13" s="20">
        <v>100</v>
      </c>
      <c r="H13" s="24">
        <v>100000</v>
      </c>
      <c r="I13" s="24">
        <f t="shared" si="2"/>
        <v>4.9747611483852401E-3</v>
      </c>
      <c r="J13" s="24">
        <f t="shared" si="3"/>
        <v>3.8116174197753795E-5</v>
      </c>
      <c r="K13" s="25">
        <f t="shared" si="4"/>
        <v>130.51575225192474</v>
      </c>
      <c r="L13" s="19"/>
      <c r="M13" s="27">
        <f>L12/I13</f>
        <v>196994.3823972531</v>
      </c>
      <c r="N13" s="24">
        <f t="shared" si="5"/>
        <v>0.1989904459354096</v>
      </c>
      <c r="O13" s="25">
        <f t="shared" si="6"/>
        <v>655.88954101991862</v>
      </c>
    </row>
    <row r="14" spans="1:15" x14ac:dyDescent="0.3">
      <c r="A14" s="20">
        <v>1.5</v>
      </c>
      <c r="B14" s="20">
        <v>-4.5</v>
      </c>
      <c r="C14" s="49">
        <v>1.0022568804329</v>
      </c>
      <c r="D14" s="49">
        <v>-3.81161741933178</v>
      </c>
      <c r="E14" s="23">
        <f t="shared" si="0"/>
        <v>5.5022568804329</v>
      </c>
      <c r="F14" s="23">
        <f t="shared" si="1"/>
        <v>0.68838258066822</v>
      </c>
      <c r="G14" s="20">
        <v>100</v>
      </c>
      <c r="H14" s="24">
        <v>100000</v>
      </c>
      <c r="I14" s="24">
        <f t="shared" si="2"/>
        <v>4.9774311956710003E-3</v>
      </c>
      <c r="J14" s="24">
        <f t="shared" si="3"/>
        <v>3.8116174193317803E-5</v>
      </c>
      <c r="K14" s="25">
        <f t="shared" si="4"/>
        <v>130.58580251067275</v>
      </c>
      <c r="L14" s="19"/>
      <c r="M14" s="27">
        <f>L12/I14</f>
        <v>196888.70854755986</v>
      </c>
      <c r="N14" s="24">
        <f t="shared" si="5"/>
        <v>0.19909724782683999</v>
      </c>
      <c r="O14" s="25">
        <f t="shared" si="6"/>
        <v>655.88954109625161</v>
      </c>
    </row>
    <row r="15" spans="1:15" x14ac:dyDescent="0.3">
      <c r="A15" s="20">
        <v>2</v>
      </c>
      <c r="B15" s="20">
        <v>-4.5</v>
      </c>
      <c r="C15" s="49">
        <v>1.50198987504397</v>
      </c>
      <c r="D15" s="49">
        <v>-3.8116174185831002</v>
      </c>
      <c r="E15" s="23">
        <f t="shared" si="0"/>
        <v>6.0019898750439697</v>
      </c>
      <c r="F15" s="23">
        <f t="shared" si="1"/>
        <v>0.68838258141689979</v>
      </c>
      <c r="G15" s="20">
        <v>100</v>
      </c>
      <c r="H15" s="24">
        <v>100000</v>
      </c>
      <c r="I15" s="24">
        <f t="shared" si="2"/>
        <v>4.9801012495603002E-3</v>
      </c>
      <c r="J15" s="24">
        <f t="shared" si="3"/>
        <v>3.8116174185831E-5</v>
      </c>
      <c r="K15" s="25">
        <f t="shared" si="4"/>
        <v>130.65585295314247</v>
      </c>
      <c r="L15" s="19"/>
      <c r="M15" s="27">
        <f>L12/I15</f>
        <v>196783.14774956141</v>
      </c>
      <c r="N15" s="24">
        <f t="shared" si="5"/>
        <v>0.19920404998241201</v>
      </c>
      <c r="O15" s="25">
        <f t="shared" si="6"/>
        <v>655.88954122508187</v>
      </c>
    </row>
    <row r="16" spans="1:15" x14ac:dyDescent="0.3">
      <c r="A16" s="20">
        <v>2.5</v>
      </c>
      <c r="B16" s="20">
        <v>-4.5</v>
      </c>
      <c r="C16" s="49">
        <v>2.0017228689900599</v>
      </c>
      <c r="D16" s="49">
        <v>-3.8116174175289901</v>
      </c>
      <c r="E16" s="23">
        <f t="shared" si="0"/>
        <v>6.5017228689900595</v>
      </c>
      <c r="F16" s="23">
        <f t="shared" si="1"/>
        <v>0.68838258247100992</v>
      </c>
      <c r="G16" s="20">
        <v>100</v>
      </c>
      <c r="H16" s="24">
        <v>100000</v>
      </c>
      <c r="I16" s="24">
        <f t="shared" si="2"/>
        <v>4.9827713100994006E-3</v>
      </c>
      <c r="J16" s="24">
        <f t="shared" si="3"/>
        <v>3.8116174175289899E-5</v>
      </c>
      <c r="K16" s="25">
        <f t="shared" si="4"/>
        <v>130.72590358057633</v>
      </c>
      <c r="L16" s="19"/>
      <c r="M16" s="27">
        <f>L12/I16</f>
        <v>196677.69982011279</v>
      </c>
      <c r="N16" s="24">
        <f t="shared" si="5"/>
        <v>0.199310852403976</v>
      </c>
      <c r="O16" s="25">
        <f t="shared" si="6"/>
        <v>655.88954140646933</v>
      </c>
    </row>
    <row r="17" spans="1:15" x14ac:dyDescent="0.3">
      <c r="A17" s="20">
        <v>3</v>
      </c>
      <c r="B17" s="20">
        <v>-4.5</v>
      </c>
      <c r="C17" s="49">
        <v>2.5014558622756402</v>
      </c>
      <c r="D17" s="49">
        <v>-3.8116174161699199</v>
      </c>
      <c r="E17" s="23">
        <f t="shared" si="0"/>
        <v>7.0014558622756402</v>
      </c>
      <c r="F17" s="23">
        <f t="shared" si="1"/>
        <v>0.68838258383008011</v>
      </c>
      <c r="G17" s="20">
        <v>100</v>
      </c>
      <c r="H17" s="24">
        <v>100000</v>
      </c>
      <c r="I17" s="24">
        <f t="shared" si="2"/>
        <v>4.9854413772435976E-3</v>
      </c>
      <c r="J17" s="24">
        <f t="shared" si="3"/>
        <v>3.8116174161699201E-5</v>
      </c>
      <c r="K17" s="25">
        <f t="shared" si="4"/>
        <v>130.79595439180218</v>
      </c>
      <c r="L17" s="19"/>
      <c r="M17" s="27">
        <f>L12/I17</f>
        <v>196572.36458005098</v>
      </c>
      <c r="N17" s="24">
        <f t="shared" si="5"/>
        <v>0.19941765508974391</v>
      </c>
      <c r="O17" s="25">
        <f t="shared" si="6"/>
        <v>655.88954164033328</v>
      </c>
    </row>
    <row r="18" spans="1:15" x14ac:dyDescent="0.3">
      <c r="A18" s="20">
        <v>3.5</v>
      </c>
      <c r="B18" s="20">
        <v>-4.5</v>
      </c>
      <c r="C18" s="49">
        <v>3.0011888548985501</v>
      </c>
      <c r="D18" s="49">
        <v>-3.81161741450574</v>
      </c>
      <c r="E18" s="23">
        <f t="shared" si="0"/>
        <v>7.5011888548985501</v>
      </c>
      <c r="F18" s="23">
        <f t="shared" si="1"/>
        <v>0.68838258549426001</v>
      </c>
      <c r="G18" s="20">
        <v>100</v>
      </c>
      <c r="H18" s="24">
        <v>100000</v>
      </c>
      <c r="I18" s="24">
        <f t="shared" si="2"/>
        <v>4.9881114510144983E-3</v>
      </c>
      <c r="J18" s="24">
        <f t="shared" si="3"/>
        <v>3.8116174145057403E-5</v>
      </c>
      <c r="K18" s="25">
        <f t="shared" si="4"/>
        <v>130.8660053874089</v>
      </c>
      <c r="L18" s="19"/>
      <c r="M18" s="27">
        <f>L12/I18</f>
        <v>196467.14184798024</v>
      </c>
      <c r="N18" s="24">
        <f t="shared" si="5"/>
        <v>0.19952445804057992</v>
      </c>
      <c r="O18" s="25">
        <f t="shared" si="6"/>
        <v>655.88954192669939</v>
      </c>
    </row>
    <row r="19" spans="1:15" x14ac:dyDescent="0.3">
      <c r="A19" s="20">
        <v>4</v>
      </c>
      <c r="B19" s="20">
        <v>-4.5</v>
      </c>
      <c r="C19" s="49">
        <v>3.5009218468566199</v>
      </c>
      <c r="D19" s="49">
        <v>-3.8116174125363398</v>
      </c>
      <c r="E19" s="23">
        <f t="shared" si="0"/>
        <v>8.0009218468566203</v>
      </c>
      <c r="F19" s="23">
        <f t="shared" si="1"/>
        <v>0.68838258746366021</v>
      </c>
      <c r="G19" s="20">
        <v>100</v>
      </c>
      <c r="H19" s="24">
        <v>100000</v>
      </c>
      <c r="I19" s="24">
        <f t="shared" si="2"/>
        <v>4.9907815314338012E-3</v>
      </c>
      <c r="J19" s="24">
        <f t="shared" si="3"/>
        <v>3.8116174125363399E-5</v>
      </c>
      <c r="K19" s="25">
        <f t="shared" si="4"/>
        <v>130.93605656798638</v>
      </c>
      <c r="L19" s="19"/>
      <c r="M19" s="27">
        <f>L12/I19</f>
        <v>196362.03144289023</v>
      </c>
      <c r="N19" s="24">
        <f t="shared" si="5"/>
        <v>0.19963126125735203</v>
      </c>
      <c r="O19" s="25">
        <f t="shared" si="6"/>
        <v>655.88954226558678</v>
      </c>
    </row>
    <row r="20" spans="1:15" x14ac:dyDescent="0.3">
      <c r="A20" s="20">
        <v>4.5</v>
      </c>
      <c r="B20" s="20">
        <v>-4.5</v>
      </c>
      <c r="C20" s="49">
        <v>4.0006548381493401</v>
      </c>
      <c r="D20" s="49">
        <v>-3.8116174102616802</v>
      </c>
      <c r="E20" s="23">
        <f t="shared" si="0"/>
        <v>8.500654838149341</v>
      </c>
      <c r="F20" s="23">
        <f t="shared" si="1"/>
        <v>0.68838258973831978</v>
      </c>
      <c r="G20" s="20">
        <v>100</v>
      </c>
      <c r="H20" s="24">
        <v>100000</v>
      </c>
      <c r="I20" s="24">
        <f t="shared" si="2"/>
        <v>4.9934516185065995E-3</v>
      </c>
      <c r="J20" s="24">
        <f t="shared" si="3"/>
        <v>3.8116174102616803E-5</v>
      </c>
      <c r="K20" s="25">
        <f t="shared" si="4"/>
        <v>131.00610793368639</v>
      </c>
      <c r="L20" s="19"/>
      <c r="M20" s="27">
        <f>L12/I20</f>
        <v>196257.03318481141</v>
      </c>
      <c r="N20" s="24">
        <f t="shared" si="5"/>
        <v>0.19973806474026398</v>
      </c>
      <c r="O20" s="25">
        <f t="shared" si="6"/>
        <v>655.88954265700204</v>
      </c>
    </row>
    <row r="21" spans="1:15" x14ac:dyDescent="0.3">
      <c r="A21" s="20">
        <v>5</v>
      </c>
      <c r="B21" s="20">
        <v>-4.5</v>
      </c>
      <c r="C21" s="49">
        <v>4.5003878287779999</v>
      </c>
      <c r="D21" s="49">
        <v>-3.81161740768199</v>
      </c>
      <c r="E21" s="23">
        <f t="shared" si="0"/>
        <v>9.000387828777999</v>
      </c>
      <c r="F21" s="23">
        <f t="shared" si="1"/>
        <v>0.68838259231801002</v>
      </c>
      <c r="G21" s="20">
        <v>100</v>
      </c>
      <c r="H21" s="24">
        <v>100000</v>
      </c>
      <c r="I21" s="24">
        <f t="shared" si="2"/>
        <v>4.9961217122200009E-3</v>
      </c>
      <c r="J21" s="24">
        <f t="shared" si="3"/>
        <v>3.81161740768199E-5</v>
      </c>
      <c r="K21" s="25">
        <f t="shared" si="4"/>
        <v>131.0761594841797</v>
      </c>
      <c r="L21" s="19"/>
      <c r="M21" s="27">
        <f>L12/I21</f>
        <v>196152.14689486459</v>
      </c>
      <c r="N21" s="24">
        <f t="shared" si="5"/>
        <v>0.19984486848880004</v>
      </c>
      <c r="O21" s="25">
        <f t="shared" si="6"/>
        <v>655.88954310090594</v>
      </c>
    </row>
    <row r="22" spans="1:15" x14ac:dyDescent="0.3">
      <c r="A22" s="29">
        <v>0.5</v>
      </c>
      <c r="B22" s="29">
        <v>-4</v>
      </c>
      <c r="C22" s="50">
        <v>6.5213369495267404E-2</v>
      </c>
      <c r="D22" s="50">
        <v>-3.3176686148365602</v>
      </c>
      <c r="E22" s="32">
        <f t="shared" si="0"/>
        <v>4.0652133694952672</v>
      </c>
      <c r="F22" s="32">
        <f t="shared" si="1"/>
        <v>0.68233138516343983</v>
      </c>
      <c r="G22" s="29">
        <v>100</v>
      </c>
      <c r="H22" s="33">
        <v>100000</v>
      </c>
      <c r="I22" s="33">
        <f t="shared" si="2"/>
        <v>4.3478663050473257E-3</v>
      </c>
      <c r="J22" s="33">
        <f t="shared" si="3"/>
        <v>3.3176686148365599E-5</v>
      </c>
      <c r="K22" s="34">
        <f t="shared" si="4"/>
        <v>131.05185628256356</v>
      </c>
      <c r="L22" s="35">
        <v>860</v>
      </c>
      <c r="M22" s="36">
        <f>L22/I22</f>
        <v>197798.17033510166</v>
      </c>
      <c r="N22" s="33">
        <f t="shared" si="5"/>
        <v>0.17391465220189301</v>
      </c>
      <c r="O22" s="34">
        <f t="shared" si="6"/>
        <v>753.5412032473771</v>
      </c>
    </row>
    <row r="23" spans="1:15" x14ac:dyDescent="0.3">
      <c r="A23" s="29">
        <v>1</v>
      </c>
      <c r="B23" s="29">
        <v>-4</v>
      </c>
      <c r="C23" s="50">
        <v>0.56497992544886599</v>
      </c>
      <c r="D23" s="50">
        <v>-3.3176686159606898</v>
      </c>
      <c r="E23" s="32">
        <f t="shared" si="0"/>
        <v>4.5649799254488661</v>
      </c>
      <c r="F23" s="32">
        <f t="shared" si="1"/>
        <v>0.68233138403931015</v>
      </c>
      <c r="G23" s="29">
        <v>100</v>
      </c>
      <c r="H23" s="33">
        <v>100000</v>
      </c>
      <c r="I23" s="33">
        <f t="shared" si="2"/>
        <v>4.3502007455113404E-3</v>
      </c>
      <c r="J23" s="33">
        <f t="shared" si="3"/>
        <v>3.3176686159606898E-5</v>
      </c>
      <c r="K23" s="34">
        <f t="shared" si="4"/>
        <v>131.12222012118178</v>
      </c>
      <c r="L23" s="19"/>
      <c r="M23" s="36">
        <f>L22/I23</f>
        <v>197692.02625588537</v>
      </c>
      <c r="N23" s="33">
        <f t="shared" si="5"/>
        <v>0.1740080298204536</v>
      </c>
      <c r="O23" s="34">
        <f t="shared" si="6"/>
        <v>753.54120299205374</v>
      </c>
    </row>
    <row r="24" spans="1:15" x14ac:dyDescent="0.3">
      <c r="A24" s="29">
        <v>1.5</v>
      </c>
      <c r="B24" s="29">
        <v>-4</v>
      </c>
      <c r="C24" s="50">
        <v>1.06474647677514</v>
      </c>
      <c r="D24" s="50">
        <v>-3.3176686143132401</v>
      </c>
      <c r="E24" s="32">
        <f t="shared" si="0"/>
        <v>5.0647464767751398</v>
      </c>
      <c r="F24" s="32">
        <f t="shared" si="1"/>
        <v>0.68233138568675988</v>
      </c>
      <c r="G24" s="29">
        <v>100</v>
      </c>
      <c r="H24" s="33">
        <v>100000</v>
      </c>
      <c r="I24" s="33">
        <f t="shared" si="2"/>
        <v>4.3525352322486E-3</v>
      </c>
      <c r="J24" s="33">
        <f t="shared" si="3"/>
        <v>3.3176686143132399E-5</v>
      </c>
      <c r="K24" s="34">
        <f t="shared" si="4"/>
        <v>131.19258546410242</v>
      </c>
      <c r="L24" s="19"/>
      <c r="M24" s="36">
        <f>L22/I24</f>
        <v>197585.99393478272</v>
      </c>
      <c r="N24" s="33">
        <f t="shared" si="5"/>
        <v>0.174101409289944</v>
      </c>
      <c r="O24" s="34">
        <f t="shared" si="6"/>
        <v>753.54120336623862</v>
      </c>
    </row>
    <row r="25" spans="1:15" x14ac:dyDescent="0.3">
      <c r="A25" s="29">
        <v>2</v>
      </c>
      <c r="B25" s="29">
        <v>-4</v>
      </c>
      <c r="C25" s="50">
        <v>1.56451302347105</v>
      </c>
      <c r="D25" s="50">
        <v>-3.3176686098936199</v>
      </c>
      <c r="E25" s="32">
        <f t="shared" si="0"/>
        <v>5.5645130234710498</v>
      </c>
      <c r="F25" s="32">
        <f t="shared" si="1"/>
        <v>0.68233139010638011</v>
      </c>
      <c r="G25" s="29">
        <v>100</v>
      </c>
      <c r="H25" s="33">
        <v>100000</v>
      </c>
      <c r="I25" s="33">
        <f t="shared" si="2"/>
        <v>4.3548697652894992E-3</v>
      </c>
      <c r="J25" s="33">
        <f t="shared" si="3"/>
        <v>3.3176686098936198E-5</v>
      </c>
      <c r="K25" s="34">
        <f t="shared" si="4"/>
        <v>131.2629523124414</v>
      </c>
      <c r="L25" s="19"/>
      <c r="M25" s="36">
        <f>L22/I25</f>
        <v>197480.07319406708</v>
      </c>
      <c r="N25" s="33">
        <f t="shared" si="5"/>
        <v>0.17419479061157997</v>
      </c>
      <c r="O25" s="34">
        <f t="shared" si="6"/>
        <v>753.54120437006577</v>
      </c>
    </row>
    <row r="26" spans="1:15" x14ac:dyDescent="0.3">
      <c r="A26" s="29">
        <v>2.5</v>
      </c>
      <c r="B26" s="29">
        <v>-4</v>
      </c>
      <c r="C26" s="50">
        <v>2.0642795655334001</v>
      </c>
      <c r="D26" s="50">
        <v>-3.3176686027012798</v>
      </c>
      <c r="E26" s="32">
        <f t="shared" si="0"/>
        <v>6.0642795655334005</v>
      </c>
      <c r="F26" s="32">
        <f t="shared" si="1"/>
        <v>0.68233139729872017</v>
      </c>
      <c r="G26" s="29">
        <v>100</v>
      </c>
      <c r="H26" s="33">
        <v>100000</v>
      </c>
      <c r="I26" s="33">
        <f t="shared" si="2"/>
        <v>4.3572043446659988E-3</v>
      </c>
      <c r="J26" s="33">
        <f t="shared" si="3"/>
        <v>3.3176686027012801E-5</v>
      </c>
      <c r="K26" s="34">
        <f t="shared" si="4"/>
        <v>131.33332066736014</v>
      </c>
      <c r="L26" s="19"/>
      <c r="M26" s="36">
        <f>L22/I26</f>
        <v>197374.26385631753</v>
      </c>
      <c r="N26" s="33">
        <f t="shared" si="5"/>
        <v>0.17428817378663994</v>
      </c>
      <c r="O26" s="34">
        <f t="shared" si="6"/>
        <v>753.54120600366002</v>
      </c>
    </row>
    <row r="27" spans="1:15" x14ac:dyDescent="0.3">
      <c r="A27" s="29">
        <v>3</v>
      </c>
      <c r="B27" s="29">
        <v>-4</v>
      </c>
      <c r="C27" s="50">
        <v>2.5640461029580899</v>
      </c>
      <c r="D27" s="50">
        <v>-3.3176685927355298</v>
      </c>
      <c r="E27" s="32">
        <f t="shared" si="0"/>
        <v>6.5640461029580894</v>
      </c>
      <c r="F27" s="32">
        <f t="shared" si="1"/>
        <v>0.68233140726447017</v>
      </c>
      <c r="G27" s="29">
        <v>100</v>
      </c>
      <c r="H27" s="33">
        <v>100000</v>
      </c>
      <c r="I27" s="33">
        <f t="shared" si="2"/>
        <v>4.3595389704191015E-3</v>
      </c>
      <c r="J27" s="33">
        <f t="shared" si="3"/>
        <v>3.3176685927355295E-5</v>
      </c>
      <c r="K27" s="34">
        <f t="shared" si="4"/>
        <v>131.40369053029841</v>
      </c>
      <c r="L27" s="19"/>
      <c r="M27" s="36">
        <f>L22/I27</f>
        <v>197268.56574408014</v>
      </c>
      <c r="N27" s="33">
        <f t="shared" si="5"/>
        <v>0.17438155881676404</v>
      </c>
      <c r="O27" s="34">
        <f t="shared" si="6"/>
        <v>753.54120826717838</v>
      </c>
    </row>
    <row r="28" spans="1:15" x14ac:dyDescent="0.3">
      <c r="A28" s="29">
        <v>3.5</v>
      </c>
      <c r="B28" s="29">
        <v>-4</v>
      </c>
      <c r="C28" s="50">
        <v>3.0638126936456</v>
      </c>
      <c r="D28" s="50">
        <v>-3.3176686146515699</v>
      </c>
      <c r="E28" s="32">
        <f t="shared" si="0"/>
        <v>7.0638126936456</v>
      </c>
      <c r="F28" s="32">
        <f t="shared" si="1"/>
        <v>0.68233138534843008</v>
      </c>
      <c r="G28" s="29">
        <v>100</v>
      </c>
      <c r="H28" s="33">
        <v>100000</v>
      </c>
      <c r="I28" s="33">
        <f t="shared" si="2"/>
        <v>4.3618730635439995E-3</v>
      </c>
      <c r="J28" s="33">
        <f t="shared" si="3"/>
        <v>3.3176686146515699E-5</v>
      </c>
      <c r="K28" s="34">
        <f t="shared" si="4"/>
        <v>131.47404307594158</v>
      </c>
      <c r="L28" s="19"/>
      <c r="M28" s="36">
        <f>L22/I28</f>
        <v>197163.00485398684</v>
      </c>
      <c r="N28" s="33">
        <f t="shared" si="5"/>
        <v>0.17447492254175997</v>
      </c>
      <c r="O28" s="34">
        <f t="shared" si="6"/>
        <v>753.54120328939382</v>
      </c>
    </row>
    <row r="29" spans="1:15" x14ac:dyDescent="0.3">
      <c r="A29" s="29">
        <v>4</v>
      </c>
      <c r="B29" s="29">
        <v>-4</v>
      </c>
      <c r="C29" s="50">
        <v>3.5635792100023802</v>
      </c>
      <c r="D29" s="50">
        <v>-3.3176685921545901</v>
      </c>
      <c r="E29" s="32">
        <f t="shared" si="0"/>
        <v>7.5635792100023806</v>
      </c>
      <c r="F29" s="32">
        <f t="shared" si="1"/>
        <v>0.68233140784540991</v>
      </c>
      <c r="G29" s="29">
        <v>100</v>
      </c>
      <c r="H29" s="33">
        <v>100000</v>
      </c>
      <c r="I29" s="33">
        <f t="shared" si="2"/>
        <v>4.3642078999761979E-3</v>
      </c>
      <c r="J29" s="33">
        <f t="shared" si="3"/>
        <v>3.3176685921545903E-5</v>
      </c>
      <c r="K29" s="34">
        <f t="shared" si="4"/>
        <v>131.5444197861232</v>
      </c>
      <c r="L29" s="19"/>
      <c r="M29" s="36">
        <f>L22/I29</f>
        <v>197057.52331475556</v>
      </c>
      <c r="N29" s="33">
        <f t="shared" si="5"/>
        <v>0.1745683159990479</v>
      </c>
      <c r="O29" s="34">
        <f t="shared" si="6"/>
        <v>753.54120839912696</v>
      </c>
    </row>
    <row r="30" spans="1:15" x14ac:dyDescent="0.3">
      <c r="A30" s="29">
        <v>4.5</v>
      </c>
      <c r="B30" s="29">
        <v>-4</v>
      </c>
      <c r="C30" s="50">
        <v>4.0633458009231802</v>
      </c>
      <c r="D30" s="50">
        <v>-3.3176686141279901</v>
      </c>
      <c r="E30" s="32">
        <f t="shared" si="0"/>
        <v>8.0633458009231802</v>
      </c>
      <c r="F30" s="32">
        <f t="shared" si="1"/>
        <v>0.68233138587200992</v>
      </c>
      <c r="G30" s="29">
        <v>100</v>
      </c>
      <c r="H30" s="33">
        <v>100000</v>
      </c>
      <c r="I30" s="33">
        <f t="shared" si="2"/>
        <v>4.3665419907681982E-3</v>
      </c>
      <c r="J30" s="33">
        <f t="shared" si="3"/>
        <v>3.3176686141279904E-5</v>
      </c>
      <c r="K30" s="34">
        <f t="shared" si="4"/>
        <v>131.61477225825618</v>
      </c>
      <c r="L30" s="19"/>
      <c r="M30" s="36">
        <f>L22/I30</f>
        <v>196952.18821168412</v>
      </c>
      <c r="N30" s="33">
        <f t="shared" si="5"/>
        <v>0.17466167963072793</v>
      </c>
      <c r="O30" s="34">
        <f t="shared" si="6"/>
        <v>753.54120340831423</v>
      </c>
    </row>
    <row r="31" spans="1:15" x14ac:dyDescent="0.3">
      <c r="A31" s="29">
        <v>5</v>
      </c>
      <c r="B31" s="29">
        <v>-4</v>
      </c>
      <c r="C31" s="50">
        <v>4.5631123176207797</v>
      </c>
      <c r="D31" s="50">
        <v>-3.3176685918000302</v>
      </c>
      <c r="E31" s="32">
        <f t="shared" si="0"/>
        <v>8.5631123176207797</v>
      </c>
      <c r="F31" s="32">
        <f t="shared" si="1"/>
        <v>0.68233140819996985</v>
      </c>
      <c r="G31" s="29">
        <v>100</v>
      </c>
      <c r="H31" s="33">
        <v>100000</v>
      </c>
      <c r="I31" s="33">
        <f t="shared" si="2"/>
        <v>4.3688768237922027E-3</v>
      </c>
      <c r="J31" s="33">
        <f t="shared" si="3"/>
        <v>3.3176685918000304E-5</v>
      </c>
      <c r="K31" s="34">
        <f t="shared" si="4"/>
        <v>131.68514885996584</v>
      </c>
      <c r="L31" s="19"/>
      <c r="M31" s="36">
        <f>L22/I31</f>
        <v>196846.9322175846</v>
      </c>
      <c r="N31" s="33">
        <f t="shared" si="5"/>
        <v>0.1747550729516881</v>
      </c>
      <c r="O31" s="34">
        <f t="shared" si="6"/>
        <v>753.54120847965805</v>
      </c>
    </row>
    <row r="32" spans="1:15" x14ac:dyDescent="0.3">
      <c r="A32" s="38">
        <v>0.5</v>
      </c>
      <c r="B32" s="38">
        <v>-3.5</v>
      </c>
      <c r="C32" s="51">
        <v>0.129253450869877</v>
      </c>
      <c r="D32" s="51">
        <v>-2.8247403555255102</v>
      </c>
      <c r="E32" s="41">
        <f t="shared" si="0"/>
        <v>3.6292534508698768</v>
      </c>
      <c r="F32" s="41">
        <f t="shared" si="1"/>
        <v>0.67525964447448983</v>
      </c>
      <c r="G32" s="38">
        <v>100</v>
      </c>
      <c r="H32" s="42">
        <v>100000</v>
      </c>
      <c r="I32" s="42">
        <f t="shared" si="2"/>
        <v>3.7074654913012302E-3</v>
      </c>
      <c r="J32" s="42">
        <f t="shared" si="3"/>
        <v>2.8247403555255103E-5</v>
      </c>
      <c r="K32" s="43">
        <f t="shared" si="4"/>
        <v>131.24977961422223</v>
      </c>
      <c r="L32" s="44">
        <v>925</v>
      </c>
      <c r="M32" s="45">
        <f>L32/I32</f>
        <v>249496.59064131908</v>
      </c>
      <c r="N32" s="42">
        <f t="shared" si="5"/>
        <v>0.14829861965204921</v>
      </c>
      <c r="O32" s="43">
        <f t="shared" si="6"/>
        <v>885.03709557224204</v>
      </c>
    </row>
    <row r="33" spans="1:15" x14ac:dyDescent="0.3">
      <c r="A33" s="38">
        <v>1</v>
      </c>
      <c r="B33" s="38">
        <v>-3.5</v>
      </c>
      <c r="C33" s="51">
        <v>0.62905445876450305</v>
      </c>
      <c r="D33" s="51">
        <v>-2.8247403678812701</v>
      </c>
      <c r="E33" s="41">
        <f t="shared" si="0"/>
        <v>4.1290544587645028</v>
      </c>
      <c r="F33" s="41">
        <f t="shared" si="1"/>
        <v>0.67525963211872986</v>
      </c>
      <c r="G33" s="38">
        <v>100</v>
      </c>
      <c r="H33" s="42">
        <v>100000</v>
      </c>
      <c r="I33" s="42">
        <f t="shared" si="2"/>
        <v>3.7094554123549696E-3</v>
      </c>
      <c r="J33" s="42">
        <f t="shared" si="3"/>
        <v>2.82474036788127E-5</v>
      </c>
      <c r="K33" s="43">
        <f t="shared" si="4"/>
        <v>131.32022519780432</v>
      </c>
      <c r="L33" s="19"/>
      <c r="M33" s="45">
        <f>L32/I33</f>
        <v>249362.74929175069</v>
      </c>
      <c r="N33" s="42">
        <f t="shared" si="5"/>
        <v>0.14837821649419877</v>
      </c>
      <c r="O33" s="43">
        <f t="shared" si="6"/>
        <v>885.03709170098159</v>
      </c>
    </row>
    <row r="34" spans="1:15" x14ac:dyDescent="0.3">
      <c r="A34" s="38">
        <v>1.5</v>
      </c>
      <c r="B34" s="38">
        <v>-3.5</v>
      </c>
      <c r="C34" s="51">
        <v>1.1288554367339301</v>
      </c>
      <c r="D34" s="51">
        <v>-2.82474035507266</v>
      </c>
      <c r="E34" s="41">
        <f t="shared" si="0"/>
        <v>4.6288554367339305</v>
      </c>
      <c r="F34" s="41">
        <f t="shared" si="1"/>
        <v>0.67525964492734003</v>
      </c>
      <c r="G34" s="38">
        <v>100</v>
      </c>
      <c r="H34" s="42">
        <v>100000</v>
      </c>
      <c r="I34" s="42">
        <f t="shared" si="2"/>
        <v>3.7114456326606993E-3</v>
      </c>
      <c r="J34" s="42">
        <f t="shared" si="3"/>
        <v>2.82474035507266E-5</v>
      </c>
      <c r="K34" s="43">
        <f t="shared" si="4"/>
        <v>131.3906825452363</v>
      </c>
      <c r="L34" s="19"/>
      <c r="M34" s="45">
        <f>L32/I34</f>
        <v>249229.03136718628</v>
      </c>
      <c r="N34" s="42">
        <f t="shared" si="5"/>
        <v>0.14845782530642795</v>
      </c>
      <c r="O34" s="43">
        <f t="shared" si="6"/>
        <v>885.03709571412742</v>
      </c>
    </row>
    <row r="35" spans="1:15" x14ac:dyDescent="0.3">
      <c r="A35" s="38">
        <v>2</v>
      </c>
      <c r="B35" s="38">
        <v>-3.5</v>
      </c>
      <c r="C35" s="51">
        <v>1.62865644459452</v>
      </c>
      <c r="D35" s="51">
        <v>-2.8247403674151399</v>
      </c>
      <c r="E35" s="41">
        <f t="shared" si="0"/>
        <v>5.1286564445945197</v>
      </c>
      <c r="F35" s="41">
        <f t="shared" si="1"/>
        <v>0.6752596325848601</v>
      </c>
      <c r="G35" s="38">
        <v>100</v>
      </c>
      <c r="H35" s="42">
        <v>100000</v>
      </c>
      <c r="I35" s="42">
        <f t="shared" si="2"/>
        <v>3.7134355540548005E-3</v>
      </c>
      <c r="J35" s="42">
        <f t="shared" si="3"/>
        <v>2.82474036741514E-5</v>
      </c>
      <c r="K35" s="43">
        <f t="shared" si="4"/>
        <v>131.46112814088067</v>
      </c>
      <c r="L35" s="19"/>
      <c r="M35" s="45">
        <f>L32/I35</f>
        <v>249095.4768260264</v>
      </c>
      <c r="N35" s="42">
        <f t="shared" si="5"/>
        <v>0.14853742216219201</v>
      </c>
      <c r="O35" s="43">
        <f t="shared" si="6"/>
        <v>885.0370918470278</v>
      </c>
    </row>
    <row r="36" spans="1:15" x14ac:dyDescent="0.3">
      <c r="A36" s="38">
        <v>2.5</v>
      </c>
      <c r="B36" s="38">
        <v>-3.5</v>
      </c>
      <c r="C36" s="51">
        <v>2.1284574224269202</v>
      </c>
      <c r="D36" s="51">
        <v>-2.82474035453449</v>
      </c>
      <c r="E36" s="41">
        <f t="shared" si="0"/>
        <v>5.6284574224269202</v>
      </c>
      <c r="F36" s="41">
        <f t="shared" si="1"/>
        <v>0.67525964546550998</v>
      </c>
      <c r="G36" s="38">
        <v>100</v>
      </c>
      <c r="H36" s="42">
        <v>100000</v>
      </c>
      <c r="I36" s="42">
        <f t="shared" si="2"/>
        <v>3.7154257757307987E-3</v>
      </c>
      <c r="J36" s="42">
        <f t="shared" si="3"/>
        <v>2.8247403545344899E-5</v>
      </c>
      <c r="K36" s="43">
        <f t="shared" si="4"/>
        <v>131.53158554082722</v>
      </c>
      <c r="L36" s="19"/>
      <c r="M36" s="45">
        <f>L32/I36</f>
        <v>248962.0452229486</v>
      </c>
      <c r="N36" s="42">
        <f t="shared" si="5"/>
        <v>0.14861703102923193</v>
      </c>
      <c r="O36" s="43">
        <f t="shared" si="6"/>
        <v>885.03709588274489</v>
      </c>
    </row>
    <row r="37" spans="1:15" x14ac:dyDescent="0.3">
      <c r="A37" s="38">
        <v>3</v>
      </c>
      <c r="B37" s="38">
        <v>-3.5</v>
      </c>
      <c r="C37" s="51">
        <v>2.6282584304216399</v>
      </c>
      <c r="D37" s="51">
        <v>-2.8247403669488498</v>
      </c>
      <c r="E37" s="41">
        <f t="shared" si="0"/>
        <v>6.1282584304216403</v>
      </c>
      <c r="F37" s="41">
        <f t="shared" si="1"/>
        <v>0.67525963305115022</v>
      </c>
      <c r="G37" s="38">
        <v>100</v>
      </c>
      <c r="H37" s="42">
        <v>100000</v>
      </c>
      <c r="I37" s="42">
        <f t="shared" si="2"/>
        <v>3.7174156957836013E-3</v>
      </c>
      <c r="J37" s="42">
        <f t="shared" si="3"/>
        <v>2.8247403669488497E-5</v>
      </c>
      <c r="K37" s="43">
        <f t="shared" si="4"/>
        <v>131.60203108503657</v>
      </c>
      <c r="L37" s="19"/>
      <c r="M37" s="45">
        <f>L32/I37</f>
        <v>248828.77668191947</v>
      </c>
      <c r="N37" s="42">
        <f t="shared" si="5"/>
        <v>0.14869662783134405</v>
      </c>
      <c r="O37" s="43">
        <f t="shared" si="6"/>
        <v>885.03709199312402</v>
      </c>
    </row>
    <row r="38" spans="1:15" x14ac:dyDescent="0.3">
      <c r="A38" s="38">
        <v>3.5</v>
      </c>
      <c r="B38" s="38">
        <v>-3.5</v>
      </c>
      <c r="C38" s="51">
        <v>3.1280594083589399</v>
      </c>
      <c r="D38" s="51">
        <v>-2.8247403541405198</v>
      </c>
      <c r="E38" s="41">
        <f t="shared" si="0"/>
        <v>6.6280594083589399</v>
      </c>
      <c r="F38" s="41">
        <f t="shared" si="1"/>
        <v>0.67525964585948017</v>
      </c>
      <c r="G38" s="38">
        <v>100</v>
      </c>
      <c r="H38" s="42">
        <v>100000</v>
      </c>
      <c r="I38" s="42">
        <f t="shared" si="2"/>
        <v>3.7194059164106009E-3</v>
      </c>
      <c r="J38" s="42">
        <f t="shared" si="3"/>
        <v>2.8247403541405199E-5</v>
      </c>
      <c r="K38" s="43">
        <f t="shared" si="4"/>
        <v>131.67248844513003</v>
      </c>
      <c r="L38" s="19"/>
      <c r="M38" s="45">
        <f>L32/I38</f>
        <v>248695.63064325819</v>
      </c>
      <c r="N38" s="42">
        <f t="shared" si="5"/>
        <v>0.14877623665642403</v>
      </c>
      <c r="O38" s="43">
        <f t="shared" si="6"/>
        <v>885.03709600618208</v>
      </c>
    </row>
    <row r="39" spans="1:15" x14ac:dyDescent="0.3">
      <c r="A39" s="38">
        <v>4</v>
      </c>
      <c r="B39" s="38">
        <v>-3.5</v>
      </c>
      <c r="C39" s="51">
        <v>3.6278604162484802</v>
      </c>
      <c r="D39" s="51">
        <v>-2.8247403664827</v>
      </c>
      <c r="E39" s="41">
        <f t="shared" si="0"/>
        <v>7.1278604162484802</v>
      </c>
      <c r="F39" s="41">
        <f t="shared" si="1"/>
        <v>0.67525963351730001</v>
      </c>
      <c r="G39" s="38">
        <v>100</v>
      </c>
      <c r="H39" s="42">
        <v>100000</v>
      </c>
      <c r="I39" s="42">
        <f t="shared" si="2"/>
        <v>3.721395837515198E-3</v>
      </c>
      <c r="J39" s="42">
        <f t="shared" si="3"/>
        <v>2.8247403664827E-5</v>
      </c>
      <c r="K39" s="43">
        <f t="shared" si="4"/>
        <v>131.74293402933142</v>
      </c>
      <c r="L39" s="19"/>
      <c r="M39" s="45">
        <f>L32/I39</f>
        <v>248562.64702484026</v>
      </c>
      <c r="N39" s="42">
        <f t="shared" si="5"/>
        <v>0.14885583350060791</v>
      </c>
      <c r="O39" s="43">
        <f t="shared" si="6"/>
        <v>885.03709213917637</v>
      </c>
    </row>
    <row r="40" spans="1:15" x14ac:dyDescent="0.3">
      <c r="A40" s="38">
        <v>4.5</v>
      </c>
      <c r="B40" s="38">
        <v>-3.5</v>
      </c>
      <c r="C40" s="51">
        <v>4.1276613940493103</v>
      </c>
      <c r="D40" s="51">
        <v>-2.8247403536023401</v>
      </c>
      <c r="E40" s="41">
        <f t="shared" si="0"/>
        <v>7.6276613940493103</v>
      </c>
      <c r="F40" s="41">
        <f t="shared" si="1"/>
        <v>0.6752596463976599</v>
      </c>
      <c r="G40" s="38">
        <v>100</v>
      </c>
      <c r="H40" s="42">
        <v>100000</v>
      </c>
      <c r="I40" s="42">
        <f t="shared" si="2"/>
        <v>3.7233860595068968E-3</v>
      </c>
      <c r="J40" s="42">
        <f t="shared" si="3"/>
        <v>2.8247403536023399E-5</v>
      </c>
      <c r="K40" s="43">
        <f t="shared" si="4"/>
        <v>131.81339144174899</v>
      </c>
      <c r="L40" s="19"/>
      <c r="M40" s="45">
        <f>L32/I40</f>
        <v>248429.78547395152</v>
      </c>
      <c r="N40" s="42">
        <f t="shared" si="5"/>
        <v>0.14893544238027587</v>
      </c>
      <c r="O40" s="43">
        <f t="shared" si="6"/>
        <v>885.03709617480263</v>
      </c>
    </row>
    <row r="41" spans="1:15" x14ac:dyDescent="0.3">
      <c r="A41" s="38">
        <v>5</v>
      </c>
      <c r="B41" s="38">
        <v>-3.5</v>
      </c>
      <c r="C41" s="51">
        <v>4.6274624020732302</v>
      </c>
      <c r="D41" s="51">
        <v>-2.8247403660164698</v>
      </c>
      <c r="E41" s="41">
        <f t="shared" si="0"/>
        <v>8.1274624020732311</v>
      </c>
      <c r="F41" s="41">
        <f t="shared" si="1"/>
        <v>0.67525963398353017</v>
      </c>
      <c r="G41" s="38">
        <v>100</v>
      </c>
      <c r="H41" s="42">
        <v>100000</v>
      </c>
      <c r="I41" s="42">
        <f t="shared" si="2"/>
        <v>3.7253759792676977E-3</v>
      </c>
      <c r="J41" s="42">
        <f t="shared" si="3"/>
        <v>2.8247403660164697E-5</v>
      </c>
      <c r="K41" s="43">
        <f t="shared" si="4"/>
        <v>131.88383697441654</v>
      </c>
      <c r="L41" s="19"/>
      <c r="M41" s="45">
        <f>L32/I41</f>
        <v>248297.0860250805</v>
      </c>
      <c r="N41" s="42">
        <f t="shared" si="5"/>
        <v>0.14901503917070791</v>
      </c>
      <c r="O41" s="43">
        <f t="shared" si="6"/>
        <v>885.03709228525383</v>
      </c>
    </row>
    <row r="42" spans="1:15" x14ac:dyDescent="0.3">
      <c r="A42" s="11">
        <v>0.5</v>
      </c>
      <c r="B42" s="11">
        <v>-3</v>
      </c>
      <c r="C42" s="48">
        <v>0.19488753426286201</v>
      </c>
      <c r="D42" s="48">
        <v>-2.33323658943611</v>
      </c>
      <c r="E42" s="14">
        <f t="shared" si="0"/>
        <v>3.194887534262862</v>
      </c>
      <c r="F42" s="14">
        <f t="shared" si="1"/>
        <v>0.66676341056388999</v>
      </c>
      <c r="G42" s="11">
        <v>100</v>
      </c>
      <c r="H42" s="15">
        <v>100000</v>
      </c>
      <c r="I42" s="15">
        <f t="shared" si="2"/>
        <v>3.0511246573713801E-3</v>
      </c>
      <c r="J42" s="15">
        <f t="shared" si="3"/>
        <v>2.3332365894361101E-5</v>
      </c>
      <c r="K42" s="16">
        <f t="shared" si="4"/>
        <v>130.76790717176124</v>
      </c>
      <c r="L42" s="17">
        <v>1000</v>
      </c>
      <c r="M42" s="18">
        <f>L42/I42</f>
        <v>327747.99862209661</v>
      </c>
      <c r="N42" s="15">
        <f t="shared" si="5"/>
        <v>0.1220449862948552</v>
      </c>
      <c r="O42" s="16">
        <f t="shared" si="6"/>
        <v>1071.4729964886214</v>
      </c>
    </row>
    <row r="43" spans="1:15" x14ac:dyDescent="0.3">
      <c r="A43" s="11">
        <v>1</v>
      </c>
      <c r="B43" s="11">
        <v>-3</v>
      </c>
      <c r="C43" s="48">
        <v>0.69472382974563296</v>
      </c>
      <c r="D43" s="48">
        <v>-2.3332365892303</v>
      </c>
      <c r="E43" s="14">
        <f t="shared" si="0"/>
        <v>3.6947238297456328</v>
      </c>
      <c r="F43" s="14">
        <f t="shared" si="1"/>
        <v>0.66676341076970003</v>
      </c>
      <c r="G43" s="11">
        <v>100</v>
      </c>
      <c r="H43" s="15">
        <v>100000</v>
      </c>
      <c r="I43" s="15">
        <f t="shared" si="2"/>
        <v>3.0527617025436706E-3</v>
      </c>
      <c r="J43" s="15">
        <f t="shared" si="3"/>
        <v>2.3332365892303001E-5</v>
      </c>
      <c r="K43" s="16">
        <f t="shared" si="4"/>
        <v>130.83806917114785</v>
      </c>
      <c r="L43" s="19"/>
      <c r="M43" s="18">
        <f>L42/I43</f>
        <v>327572.2435743229</v>
      </c>
      <c r="N43" s="15">
        <f t="shared" si="5"/>
        <v>0.12211046810174682</v>
      </c>
      <c r="O43" s="16">
        <f t="shared" si="6"/>
        <v>1071.4729965831339</v>
      </c>
    </row>
    <row r="44" spans="1:15" x14ac:dyDescent="0.3">
      <c r="A44" s="11">
        <v>1.5</v>
      </c>
      <c r="B44" s="11">
        <v>-3</v>
      </c>
      <c r="C44" s="48">
        <v>1.19456012522642</v>
      </c>
      <c r="D44" s="48">
        <v>-2.3332365890239699</v>
      </c>
      <c r="E44" s="14">
        <f t="shared" si="0"/>
        <v>4.1945601252264204</v>
      </c>
      <c r="F44" s="14">
        <f t="shared" si="1"/>
        <v>0.66676341097603009</v>
      </c>
      <c r="G44" s="11">
        <v>100</v>
      </c>
      <c r="H44" s="15">
        <v>100000</v>
      </c>
      <c r="I44" s="15">
        <f t="shared" si="2"/>
        <v>3.0543987477358002E-3</v>
      </c>
      <c r="J44" s="15">
        <f t="shared" si="3"/>
        <v>2.3332365890239699E-5</v>
      </c>
      <c r="K44" s="16">
        <f t="shared" si="4"/>
        <v>130.90823117142628</v>
      </c>
      <c r="L44" s="19"/>
      <c r="M44" s="18">
        <f>L42/I44</f>
        <v>327396.67692088056</v>
      </c>
      <c r="N44" s="15">
        <f t="shared" si="5"/>
        <v>0.12217594990943201</v>
      </c>
      <c r="O44" s="16">
        <f t="shared" si="6"/>
        <v>1071.472996677885</v>
      </c>
    </row>
    <row r="45" spans="1:15" x14ac:dyDescent="0.3">
      <c r="A45" s="11">
        <v>2</v>
      </c>
      <c r="B45" s="11">
        <v>-3</v>
      </c>
      <c r="C45" s="48">
        <v>1.6943964207071101</v>
      </c>
      <c r="D45" s="48">
        <v>-2.3332365888174098</v>
      </c>
      <c r="E45" s="14">
        <f t="shared" si="0"/>
        <v>4.6943964207071103</v>
      </c>
      <c r="F45" s="14">
        <f t="shared" si="1"/>
        <v>0.66676341118259019</v>
      </c>
      <c r="G45" s="11">
        <v>100</v>
      </c>
      <c r="H45" s="15">
        <v>100000</v>
      </c>
      <c r="I45" s="15">
        <f t="shared" si="2"/>
        <v>3.0560357929288995E-3</v>
      </c>
      <c r="J45" s="15">
        <f t="shared" si="3"/>
        <v>2.3332365888174098E-5</v>
      </c>
      <c r="K45" s="16">
        <f t="shared" si="4"/>
        <v>130.97839317177164</v>
      </c>
      <c r="L45" s="19"/>
      <c r="M45" s="18">
        <f>L42/I45</f>
        <v>327221.29836103838</v>
      </c>
      <c r="N45" s="15">
        <f t="shared" si="5"/>
        <v>0.12224143171715597</v>
      </c>
      <c r="O45" s="16">
        <f t="shared" si="6"/>
        <v>1071.4729967727421</v>
      </c>
    </row>
    <row r="46" spans="1:15" x14ac:dyDescent="0.3">
      <c r="A46" s="11">
        <v>2.5</v>
      </c>
      <c r="B46" s="11">
        <v>-3</v>
      </c>
      <c r="C46" s="48">
        <v>2.1942327161869799</v>
      </c>
      <c r="D46" s="48">
        <v>-2.33323658861049</v>
      </c>
      <c r="E46" s="14">
        <f t="shared" si="0"/>
        <v>5.1942327161869795</v>
      </c>
      <c r="F46" s="14">
        <f t="shared" si="1"/>
        <v>0.66676341138951001</v>
      </c>
      <c r="G46" s="11">
        <v>100</v>
      </c>
      <c r="H46" s="15">
        <v>100000</v>
      </c>
      <c r="I46" s="15">
        <f t="shared" si="2"/>
        <v>3.0576728381302011E-3</v>
      </c>
      <c r="J46" s="15">
        <f t="shared" si="3"/>
        <v>2.3332365886104901E-5</v>
      </c>
      <c r="K46" s="16">
        <f t="shared" si="4"/>
        <v>131.04855517250112</v>
      </c>
      <c r="L46" s="19"/>
      <c r="M46" s="18">
        <f>L42/I46</f>
        <v>327046.10759191308</v>
      </c>
      <c r="N46" s="15">
        <f t="shared" si="5"/>
        <v>0.12230691352520803</v>
      </c>
      <c r="O46" s="16">
        <f t="shared" si="6"/>
        <v>1071.4729968677641</v>
      </c>
    </row>
    <row r="47" spans="1:15" x14ac:dyDescent="0.3">
      <c r="A47" s="11">
        <v>3</v>
      </c>
      <c r="B47" s="11">
        <v>-3</v>
      </c>
      <c r="C47" s="48">
        <v>2.6940690116685002</v>
      </c>
      <c r="D47" s="48">
        <v>-2.3332365884035799</v>
      </c>
      <c r="E47" s="14">
        <f t="shared" si="0"/>
        <v>5.6940690116684998</v>
      </c>
      <c r="F47" s="14">
        <f t="shared" si="1"/>
        <v>0.66676341159642005</v>
      </c>
      <c r="G47" s="11">
        <v>100</v>
      </c>
      <c r="H47" s="15">
        <v>100000</v>
      </c>
      <c r="I47" s="15">
        <f t="shared" si="2"/>
        <v>3.059309883314998E-3</v>
      </c>
      <c r="J47" s="15">
        <f t="shared" si="3"/>
        <v>2.33323658840358E-5</v>
      </c>
      <c r="K47" s="16">
        <f t="shared" si="4"/>
        <v>131.11871717253516</v>
      </c>
      <c r="L47" s="19"/>
      <c r="M47" s="18">
        <f>L42/I47</f>
        <v>326871.10431468388</v>
      </c>
      <c r="N47" s="15">
        <f t="shared" si="5"/>
        <v>0.12237239533259991</v>
      </c>
      <c r="O47" s="16">
        <f t="shared" si="6"/>
        <v>1071.4729969627817</v>
      </c>
    </row>
    <row r="48" spans="1:15" x14ac:dyDescent="0.3">
      <c r="A48" s="11">
        <v>3.5</v>
      </c>
      <c r="B48" s="11">
        <v>-3</v>
      </c>
      <c r="C48" s="48">
        <v>3.1939053071459602</v>
      </c>
      <c r="D48" s="48">
        <v>-2.3332365881958501</v>
      </c>
      <c r="E48" s="14">
        <f t="shared" si="0"/>
        <v>6.1939053071459602</v>
      </c>
      <c r="F48" s="14">
        <f t="shared" si="1"/>
        <v>0.66676341180414989</v>
      </c>
      <c r="G48" s="11">
        <v>100</v>
      </c>
      <c r="H48" s="15">
        <v>100000</v>
      </c>
      <c r="I48" s="15">
        <f t="shared" si="2"/>
        <v>3.0609469285403979E-3</v>
      </c>
      <c r="J48" s="15">
        <f t="shared" si="3"/>
        <v>2.3332365881958502E-5</v>
      </c>
      <c r="K48" s="16">
        <f t="shared" si="4"/>
        <v>131.18887917436791</v>
      </c>
      <c r="L48" s="19"/>
      <c r="M48" s="18">
        <f>L42/I48</f>
        <v>326696.28822243138</v>
      </c>
      <c r="N48" s="15">
        <f t="shared" si="5"/>
        <v>0.12243787714161591</v>
      </c>
      <c r="O48" s="16">
        <f t="shared" si="6"/>
        <v>1071.4729970581757</v>
      </c>
    </row>
    <row r="49" spans="1:15" x14ac:dyDescent="0.3">
      <c r="A49" s="11">
        <v>4</v>
      </c>
      <c r="B49" s="11">
        <v>-3</v>
      </c>
      <c r="C49" s="48">
        <v>3.69374160262484</v>
      </c>
      <c r="D49" s="48">
        <v>-2.3332365879880901</v>
      </c>
      <c r="E49" s="14">
        <f t="shared" si="0"/>
        <v>6.69374160262484</v>
      </c>
      <c r="F49" s="14">
        <f t="shared" si="1"/>
        <v>0.66676341201190992</v>
      </c>
      <c r="G49" s="11">
        <v>100</v>
      </c>
      <c r="H49" s="15">
        <v>100000</v>
      </c>
      <c r="I49" s="15">
        <f t="shared" si="2"/>
        <v>3.0625839737516004E-3</v>
      </c>
      <c r="J49" s="15">
        <f t="shared" si="3"/>
        <v>2.33323658798809E-5</v>
      </c>
      <c r="K49" s="16">
        <f t="shared" si="4"/>
        <v>131.25904117560637</v>
      </c>
      <c r="L49" s="19"/>
      <c r="M49" s="18">
        <f>L42/I49</f>
        <v>326521.65902083699</v>
      </c>
      <c r="N49" s="15">
        <f t="shared" si="5"/>
        <v>0.12250335895006401</v>
      </c>
      <c r="O49" s="16">
        <f t="shared" si="6"/>
        <v>1071.4729971535837</v>
      </c>
    </row>
    <row r="50" spans="1:15" x14ac:dyDescent="0.3">
      <c r="A50" s="11">
        <v>4.5</v>
      </c>
      <c r="B50" s="11">
        <v>-3</v>
      </c>
      <c r="C50" s="48">
        <v>4.1935778981030696</v>
      </c>
      <c r="D50" s="48">
        <v>-2.3332365877799899</v>
      </c>
      <c r="E50" s="14">
        <f t="shared" si="0"/>
        <v>7.1935778981030696</v>
      </c>
      <c r="F50" s="14">
        <f t="shared" si="1"/>
        <v>0.66676341222001012</v>
      </c>
      <c r="G50" s="11">
        <v>100</v>
      </c>
      <c r="H50" s="15">
        <v>100000</v>
      </c>
      <c r="I50" s="15">
        <f t="shared" si="2"/>
        <v>3.0642210189693042E-3</v>
      </c>
      <c r="J50" s="15">
        <f t="shared" si="3"/>
        <v>2.3332365877799899E-5</v>
      </c>
      <c r="K50" s="16">
        <f t="shared" si="4"/>
        <v>131.32920317715511</v>
      </c>
      <c r="L50" s="19"/>
      <c r="M50" s="18">
        <f>L42/I50</f>
        <v>326347.21640815737</v>
      </c>
      <c r="N50" s="15">
        <f t="shared" si="5"/>
        <v>0.12256884075877217</v>
      </c>
      <c r="O50" s="16">
        <f t="shared" si="6"/>
        <v>1071.4729972491477</v>
      </c>
    </row>
    <row r="51" spans="1:15" x14ac:dyDescent="0.3">
      <c r="A51" s="11">
        <v>5</v>
      </c>
      <c r="B51" s="11">
        <v>-3</v>
      </c>
      <c r="C51" s="48">
        <v>4.6934141935801597</v>
      </c>
      <c r="D51" s="48">
        <v>-2.3332365875715202</v>
      </c>
      <c r="E51" s="14">
        <f t="shared" si="0"/>
        <v>7.6934141935801597</v>
      </c>
      <c r="F51" s="14">
        <f t="shared" si="1"/>
        <v>0.66676341242847981</v>
      </c>
      <c r="G51" s="11">
        <v>100</v>
      </c>
      <c r="H51" s="15">
        <v>100000</v>
      </c>
      <c r="I51" s="15">
        <f t="shared" si="2"/>
        <v>3.0658580641984034E-3</v>
      </c>
      <c r="J51" s="15">
        <f t="shared" si="3"/>
        <v>2.3332365875715202E-5</v>
      </c>
      <c r="K51" s="16">
        <f t="shared" si="4"/>
        <v>131.39936517922558</v>
      </c>
      <c r="L51" s="19"/>
      <c r="M51" s="18">
        <f>L42/I51</f>
        <v>326172.96008498006</v>
      </c>
      <c r="N51" s="15">
        <f t="shared" si="5"/>
        <v>0.12263432256793613</v>
      </c>
      <c r="O51" s="16">
        <f t="shared" si="6"/>
        <v>1071.4729973448816</v>
      </c>
    </row>
    <row r="52" spans="1:15" x14ac:dyDescent="0.3">
      <c r="A52" s="20">
        <v>0.5</v>
      </c>
      <c r="B52" s="20">
        <v>-2.5</v>
      </c>
      <c r="C52" s="49">
        <v>0.26195286459912798</v>
      </c>
      <c r="D52" s="49">
        <v>-1.84385362890983</v>
      </c>
      <c r="E52" s="23">
        <f t="shared" si="0"/>
        <v>2.7619528645991278</v>
      </c>
      <c r="F52" s="23">
        <f t="shared" si="1"/>
        <v>0.65614637109017004</v>
      </c>
      <c r="G52" s="20">
        <v>100</v>
      </c>
      <c r="H52" s="24">
        <v>100000</v>
      </c>
      <c r="I52" s="24">
        <f t="shared" si="2"/>
        <v>2.3804713540087202E-3</v>
      </c>
      <c r="J52" s="24">
        <f t="shared" si="3"/>
        <v>1.8438536289098299E-5</v>
      </c>
      <c r="K52" s="25">
        <f t="shared" si="4"/>
        <v>129.10305442282657</v>
      </c>
      <c r="L52" s="26">
        <v>800</v>
      </c>
      <c r="M52" s="27">
        <f>L52/I52</f>
        <v>336067.89623945602</v>
      </c>
      <c r="N52" s="24">
        <f t="shared" si="5"/>
        <v>9.5218854160348809E-2</v>
      </c>
      <c r="O52" s="25">
        <f t="shared" si="6"/>
        <v>1355.8559968114789</v>
      </c>
    </row>
    <row r="53" spans="1:15" x14ac:dyDescent="0.3">
      <c r="A53" s="20">
        <v>1</v>
      </c>
      <c r="B53" s="20">
        <v>-2.5</v>
      </c>
      <c r="C53" s="49">
        <v>0.76182523042035</v>
      </c>
      <c r="D53" s="49">
        <v>-1.8438536287417799</v>
      </c>
      <c r="E53" s="23">
        <f t="shared" si="0"/>
        <v>3.2618252304203499</v>
      </c>
      <c r="F53" s="23">
        <f t="shared" si="1"/>
        <v>0.65614637125822006</v>
      </c>
      <c r="G53" s="20">
        <v>100</v>
      </c>
      <c r="H53" s="24">
        <v>100000</v>
      </c>
      <c r="I53" s="24">
        <f t="shared" si="2"/>
        <v>2.3817476957964999E-3</v>
      </c>
      <c r="J53" s="24">
        <f t="shared" si="3"/>
        <v>1.84385362874178E-5</v>
      </c>
      <c r="K53" s="25">
        <f t="shared" si="4"/>
        <v>129.17227586127709</v>
      </c>
      <c r="L53" s="19"/>
      <c r="M53" s="27">
        <f>L52/I53</f>
        <v>335887.80264673056</v>
      </c>
      <c r="N53" s="24">
        <f t="shared" si="5"/>
        <v>9.5269907831859985E-2</v>
      </c>
      <c r="O53" s="25">
        <f t="shared" si="6"/>
        <v>1355.8559969350524</v>
      </c>
    </row>
    <row r="54" spans="1:15" x14ac:dyDescent="0.3">
      <c r="A54" s="20">
        <v>1.5</v>
      </c>
      <c r="B54" s="20">
        <v>-2.5</v>
      </c>
      <c r="C54" s="49">
        <v>1.2616975962319099</v>
      </c>
      <c r="D54" s="49">
        <v>-1.8438536285444</v>
      </c>
      <c r="E54" s="23">
        <f t="shared" si="0"/>
        <v>3.7616975962319099</v>
      </c>
      <c r="F54" s="23">
        <f t="shared" si="1"/>
        <v>0.65614637145559995</v>
      </c>
      <c r="G54" s="20">
        <v>100</v>
      </c>
      <c r="H54" s="24">
        <v>100000</v>
      </c>
      <c r="I54" s="24">
        <f t="shared" si="2"/>
        <v>2.383024037680901E-3</v>
      </c>
      <c r="J54" s="24">
        <f t="shared" si="3"/>
        <v>1.8438536285443999E-5</v>
      </c>
      <c r="K54" s="25">
        <f t="shared" si="4"/>
        <v>129.24149730703627</v>
      </c>
      <c r="L54" s="19"/>
      <c r="M54" s="27">
        <f>L52/I54</f>
        <v>335707.90195576032</v>
      </c>
      <c r="N54" s="24">
        <f t="shared" si="5"/>
        <v>9.5320961507236041E-2</v>
      </c>
      <c r="O54" s="25">
        <f t="shared" si="6"/>
        <v>1355.8559970801934</v>
      </c>
    </row>
    <row r="55" spans="1:15" x14ac:dyDescent="0.3">
      <c r="A55" s="20">
        <v>2</v>
      </c>
      <c r="B55" s="20">
        <v>-2.5</v>
      </c>
      <c r="C55" s="49">
        <v>1.7615699620326299</v>
      </c>
      <c r="D55" s="49">
        <v>-1.84385362831748</v>
      </c>
      <c r="E55" s="23">
        <f t="shared" si="0"/>
        <v>4.2615699620326302</v>
      </c>
      <c r="F55" s="23">
        <f t="shared" si="1"/>
        <v>0.65614637168251999</v>
      </c>
      <c r="G55" s="20">
        <v>100</v>
      </c>
      <c r="H55" s="24">
        <v>100000</v>
      </c>
      <c r="I55" s="24">
        <f t="shared" si="2"/>
        <v>2.3843003796737007E-3</v>
      </c>
      <c r="J55" s="24">
        <f t="shared" si="3"/>
        <v>1.8438536283174802E-5</v>
      </c>
      <c r="K55" s="25">
        <f t="shared" si="4"/>
        <v>129.31071876076081</v>
      </c>
      <c r="L55" s="19"/>
      <c r="M55" s="27">
        <f>L52/I55</f>
        <v>335528.19385512266</v>
      </c>
      <c r="N55" s="24">
        <f t="shared" si="5"/>
        <v>9.5372015186948017E-2</v>
      </c>
      <c r="O55" s="25">
        <f t="shared" si="6"/>
        <v>1355.8559972470564</v>
      </c>
    </row>
    <row r="56" spans="1:15" x14ac:dyDescent="0.3">
      <c r="A56" s="20">
        <v>2.5</v>
      </c>
      <c r="B56" s="20">
        <v>-2.5</v>
      </c>
      <c r="C56" s="49">
        <v>2.2614423278242501</v>
      </c>
      <c r="D56" s="49">
        <v>-1.84385362806136</v>
      </c>
      <c r="E56" s="23">
        <f t="shared" si="0"/>
        <v>4.7614423278242501</v>
      </c>
      <c r="F56" s="23">
        <f t="shared" si="1"/>
        <v>0.65614637193864001</v>
      </c>
      <c r="G56" s="20">
        <v>100</v>
      </c>
      <c r="H56" s="24">
        <v>100000</v>
      </c>
      <c r="I56" s="24">
        <f t="shared" si="2"/>
        <v>2.3855767217574987E-3</v>
      </c>
      <c r="J56" s="24">
        <f t="shared" si="3"/>
        <v>1.8438536280613601E-5</v>
      </c>
      <c r="K56" s="25">
        <f t="shared" si="4"/>
        <v>129.37994022148655</v>
      </c>
      <c r="L56" s="19"/>
      <c r="M56" s="27">
        <f>L52/I56</f>
        <v>335348.67803816643</v>
      </c>
      <c r="N56" s="24">
        <f t="shared" si="5"/>
        <v>9.5423068870299943E-2</v>
      </c>
      <c r="O56" s="25">
        <f t="shared" si="6"/>
        <v>1355.8559974353911</v>
      </c>
    </row>
    <row r="57" spans="1:15" x14ac:dyDescent="0.3">
      <c r="A57" s="20">
        <v>3</v>
      </c>
      <c r="B57" s="20">
        <v>-2.5</v>
      </c>
      <c r="C57" s="49">
        <v>2.7613146936065598</v>
      </c>
      <c r="D57" s="49">
        <v>-1.84385362777599</v>
      </c>
      <c r="E57" s="23">
        <f t="shared" si="0"/>
        <v>5.2613146936065593</v>
      </c>
      <c r="F57" s="23">
        <f t="shared" si="1"/>
        <v>0.65614637222400995</v>
      </c>
      <c r="G57" s="20">
        <v>100</v>
      </c>
      <c r="H57" s="24">
        <v>100000</v>
      </c>
      <c r="I57" s="24">
        <f t="shared" si="2"/>
        <v>2.386853063934402E-3</v>
      </c>
      <c r="J57" s="24">
        <f t="shared" si="3"/>
        <v>1.8438536277759899E-5</v>
      </c>
      <c r="K57" s="25">
        <f t="shared" si="4"/>
        <v>129.44916168933455</v>
      </c>
      <c r="L57" s="19"/>
      <c r="M57" s="27">
        <f>L52/I57</f>
        <v>335169.35419615189</v>
      </c>
      <c r="N57" s="24">
        <f t="shared" si="5"/>
        <v>9.547412255737607E-2</v>
      </c>
      <c r="O57" s="25">
        <f t="shared" si="6"/>
        <v>1355.8559976452348</v>
      </c>
    </row>
    <row r="58" spans="1:15" x14ac:dyDescent="0.3">
      <c r="A58" s="20">
        <v>3.5</v>
      </c>
      <c r="B58" s="20">
        <v>-2.5</v>
      </c>
      <c r="C58" s="49">
        <v>3.2611870593787202</v>
      </c>
      <c r="D58" s="49">
        <v>-1.8438536274612201</v>
      </c>
      <c r="E58" s="23">
        <f t="shared" si="0"/>
        <v>5.7611870593787202</v>
      </c>
      <c r="F58" s="23">
        <f t="shared" si="1"/>
        <v>0.65614637253877994</v>
      </c>
      <c r="G58" s="20">
        <v>100</v>
      </c>
      <c r="H58" s="24">
        <v>100000</v>
      </c>
      <c r="I58" s="24">
        <f t="shared" si="2"/>
        <v>2.3881294062127979E-3</v>
      </c>
      <c r="J58" s="24">
        <f t="shared" si="3"/>
        <v>1.84385362746122E-5</v>
      </c>
      <c r="K58" s="25">
        <f t="shared" si="4"/>
        <v>129.5183831647735</v>
      </c>
      <c r="L58" s="19"/>
      <c r="M58" s="27">
        <f>L52/I58</f>
        <v>334990.22202011896</v>
      </c>
      <c r="N58" s="24">
        <f t="shared" si="5"/>
        <v>9.5525176248511909E-2</v>
      </c>
      <c r="O58" s="25">
        <f t="shared" si="6"/>
        <v>1355.8559978766971</v>
      </c>
    </row>
    <row r="59" spans="1:15" x14ac:dyDescent="0.3">
      <c r="A59" s="20">
        <v>4</v>
      </c>
      <c r="B59" s="20">
        <v>-2.5</v>
      </c>
      <c r="C59" s="49">
        <v>3.7610594251404201</v>
      </c>
      <c r="D59" s="49">
        <v>-1.8438536271169901</v>
      </c>
      <c r="E59" s="23">
        <f t="shared" si="0"/>
        <v>6.2610594251404201</v>
      </c>
      <c r="F59" s="23">
        <f t="shared" si="1"/>
        <v>0.65614637288300992</v>
      </c>
      <c r="G59" s="20">
        <v>100</v>
      </c>
      <c r="H59" s="24">
        <v>100000</v>
      </c>
      <c r="I59" s="24">
        <f t="shared" si="2"/>
        <v>2.3894057485957989E-3</v>
      </c>
      <c r="J59" s="24">
        <f t="shared" si="3"/>
        <v>1.8438536271169902E-5</v>
      </c>
      <c r="K59" s="25">
        <f t="shared" si="4"/>
        <v>129.5876046479797</v>
      </c>
      <c r="L59" s="19"/>
      <c r="M59" s="27">
        <f>L52/I59</f>
        <v>334811.28120250918</v>
      </c>
      <c r="N59" s="24">
        <f t="shared" si="5"/>
        <v>9.5576229943831956E-2</v>
      </c>
      <c r="O59" s="25">
        <f t="shared" si="6"/>
        <v>1355.8559981298224</v>
      </c>
    </row>
    <row r="60" spans="1:15" x14ac:dyDescent="0.3">
      <c r="A60" s="20">
        <v>4.5</v>
      </c>
      <c r="B60" s="20">
        <v>-2.5</v>
      </c>
      <c r="C60" s="49">
        <v>4.2609317908932098</v>
      </c>
      <c r="D60" s="49">
        <v>-1.8438536267435801</v>
      </c>
      <c r="E60" s="23">
        <f t="shared" si="0"/>
        <v>6.7609317908932098</v>
      </c>
      <c r="F60" s="23">
        <f t="shared" si="1"/>
        <v>0.65614637325641989</v>
      </c>
      <c r="G60" s="20">
        <v>100</v>
      </c>
      <c r="H60" s="24">
        <v>100000</v>
      </c>
      <c r="I60" s="24">
        <f t="shared" si="2"/>
        <v>2.3906820910679018E-3</v>
      </c>
      <c r="J60" s="24">
        <f t="shared" si="3"/>
        <v>1.8438536267435801E-5</v>
      </c>
      <c r="K60" s="25">
        <f t="shared" si="4"/>
        <v>129.65682613809602</v>
      </c>
      <c r="L60" s="19"/>
      <c r="M60" s="27">
        <f>L52/I60</f>
        <v>334632.53143902763</v>
      </c>
      <c r="N60" s="24">
        <f t="shared" si="5"/>
        <v>9.5627283642716068E-2</v>
      </c>
      <c r="O60" s="25">
        <f t="shared" si="6"/>
        <v>1355.8559984044052</v>
      </c>
    </row>
    <row r="61" spans="1:15" x14ac:dyDescent="0.3">
      <c r="A61" s="20">
        <v>5</v>
      </c>
      <c r="B61" s="20">
        <v>-2.5</v>
      </c>
      <c r="C61" s="49">
        <v>4.7608041566366701</v>
      </c>
      <c r="D61" s="49">
        <v>-1.84385362634093</v>
      </c>
      <c r="E61" s="23">
        <f t="shared" si="0"/>
        <v>7.2608041566366701</v>
      </c>
      <c r="F61" s="23">
        <f t="shared" si="1"/>
        <v>0.65614637365907003</v>
      </c>
      <c r="G61" s="20">
        <v>100</v>
      </c>
      <c r="H61" s="24">
        <v>100000</v>
      </c>
      <c r="I61" s="24">
        <f t="shared" si="2"/>
        <v>2.391958433633299E-3</v>
      </c>
      <c r="J61" s="24">
        <f t="shared" si="3"/>
        <v>1.8438536263409301E-5</v>
      </c>
      <c r="K61" s="25">
        <f t="shared" si="4"/>
        <v>129.72604763535736</v>
      </c>
      <c r="L61" s="19"/>
      <c r="M61" s="27">
        <f>L52/I61</f>
        <v>334453.97242327023</v>
      </c>
      <c r="N61" s="24">
        <f t="shared" si="5"/>
        <v>9.567833734533196E-2</v>
      </c>
      <c r="O61" s="25">
        <f t="shared" si="6"/>
        <v>1355.855998700489</v>
      </c>
    </row>
    <row r="62" spans="1:15" x14ac:dyDescent="0.3">
      <c r="A62" s="29">
        <v>0.5</v>
      </c>
      <c r="B62" s="29">
        <v>-2</v>
      </c>
      <c r="C62" s="50">
        <v>0.32996088543734797</v>
      </c>
      <c r="D62" s="50">
        <v>-1.35794475769621</v>
      </c>
      <c r="E62" s="32">
        <f t="shared" si="0"/>
        <v>2.3299608854373481</v>
      </c>
      <c r="F62" s="32">
        <f t="shared" si="1"/>
        <v>0.64205524230378996</v>
      </c>
      <c r="G62" s="29">
        <v>100</v>
      </c>
      <c r="H62" s="33">
        <v>100000</v>
      </c>
      <c r="I62" s="33">
        <f t="shared" si="2"/>
        <v>1.7003911456265203E-3</v>
      </c>
      <c r="J62" s="33">
        <f t="shared" si="3"/>
        <v>1.35794475769621E-5</v>
      </c>
      <c r="K62" s="34">
        <f t="shared" si="4"/>
        <v>125.21799108465058</v>
      </c>
      <c r="L62" s="35">
        <v>850</v>
      </c>
      <c r="M62" s="36">
        <f>L62/I62</f>
        <v>499884.98363228771</v>
      </c>
      <c r="N62" s="33">
        <f t="shared" si="5"/>
        <v>6.8015645825060811E-2</v>
      </c>
      <c r="O62" s="34">
        <f t="shared" si="6"/>
        <v>1841.0174536417207</v>
      </c>
    </row>
    <row r="63" spans="1:15" x14ac:dyDescent="0.3">
      <c r="A63" s="29">
        <v>1</v>
      </c>
      <c r="B63" s="29">
        <v>-2</v>
      </c>
      <c r="C63" s="50">
        <v>0.82986981380279601</v>
      </c>
      <c r="D63" s="50">
        <v>-1.3579447590842999</v>
      </c>
      <c r="E63" s="32">
        <f t="shared" si="0"/>
        <v>2.8298698138027962</v>
      </c>
      <c r="F63" s="32">
        <f t="shared" si="1"/>
        <v>0.6420552409157001</v>
      </c>
      <c r="G63" s="29">
        <v>100</v>
      </c>
      <c r="H63" s="33">
        <v>100000</v>
      </c>
      <c r="I63" s="33">
        <f t="shared" si="2"/>
        <v>1.7013018619720399E-3</v>
      </c>
      <c r="J63" s="33">
        <f t="shared" si="3"/>
        <v>1.3579447590842999E-5</v>
      </c>
      <c r="K63" s="34">
        <f t="shared" si="4"/>
        <v>125.28505674408106</v>
      </c>
      <c r="L63" s="19"/>
      <c r="M63" s="36">
        <f>L62/I63</f>
        <v>499617.39242131589</v>
      </c>
      <c r="N63" s="33">
        <f t="shared" si="5"/>
        <v>6.8052074478881591E-2</v>
      </c>
      <c r="O63" s="34">
        <f t="shared" si="6"/>
        <v>1841.0174517598346</v>
      </c>
    </row>
    <row r="64" spans="1:15" x14ac:dyDescent="0.3">
      <c r="A64" s="29">
        <v>1.5</v>
      </c>
      <c r="B64" s="29">
        <v>-2</v>
      </c>
      <c r="C64" s="50">
        <v>1.32977874224924</v>
      </c>
      <c r="D64" s="50">
        <v>-1.35794475735987</v>
      </c>
      <c r="E64" s="32">
        <f t="shared" si="0"/>
        <v>3.32977874224924</v>
      </c>
      <c r="F64" s="32">
        <f t="shared" si="1"/>
        <v>0.64205524264013003</v>
      </c>
      <c r="G64" s="29">
        <v>100</v>
      </c>
      <c r="H64" s="33">
        <v>100000</v>
      </c>
      <c r="I64" s="33">
        <f t="shared" si="2"/>
        <v>1.7022125775076002E-3</v>
      </c>
      <c r="J64" s="33">
        <f t="shared" si="3"/>
        <v>1.35794475735987E-5</v>
      </c>
      <c r="K64" s="34">
        <f t="shared" si="4"/>
        <v>125.35212263104569</v>
      </c>
      <c r="L64" s="19"/>
      <c r="M64" s="36">
        <f>L62/I64</f>
        <v>499350.08778079884</v>
      </c>
      <c r="N64" s="33">
        <f t="shared" si="5"/>
        <v>6.8088503100303996E-2</v>
      </c>
      <c r="O64" s="34">
        <f t="shared" si="6"/>
        <v>1841.0174540977098</v>
      </c>
    </row>
    <row r="65" spans="1:15" x14ac:dyDescent="0.3">
      <c r="A65" s="29">
        <v>2</v>
      </c>
      <c r="B65" s="29">
        <v>-2</v>
      </c>
      <c r="C65" s="50">
        <v>1.82968767077727</v>
      </c>
      <c r="D65" s="50">
        <v>-1.3579447525220001</v>
      </c>
      <c r="E65" s="32">
        <f t="shared" si="0"/>
        <v>3.82968767077727</v>
      </c>
      <c r="F65" s="32">
        <f t="shared" si="1"/>
        <v>0.64205524747799991</v>
      </c>
      <c r="G65" s="29">
        <v>100</v>
      </c>
      <c r="H65" s="33">
        <v>100000</v>
      </c>
      <c r="I65" s="33">
        <f t="shared" si="2"/>
        <v>1.7031232922272998E-3</v>
      </c>
      <c r="J65" s="33">
        <f t="shared" si="3"/>
        <v>1.357944752522E-5</v>
      </c>
      <c r="K65" s="34">
        <f t="shared" si="4"/>
        <v>125.4191887456561</v>
      </c>
      <c r="L65" s="19"/>
      <c r="M65" s="36">
        <f>L62/I65</f>
        <v>499083.06925236888</v>
      </c>
      <c r="N65" s="33">
        <f t="shared" si="5"/>
        <v>6.8124931689091991E-2</v>
      </c>
      <c r="O65" s="34">
        <f t="shared" si="6"/>
        <v>1841.0174606565945</v>
      </c>
    </row>
    <row r="66" spans="1:15" x14ac:dyDescent="0.3">
      <c r="A66" s="29">
        <v>2.5</v>
      </c>
      <c r="B66" s="29">
        <v>-2</v>
      </c>
      <c r="C66" s="50">
        <v>2.3295965993892001</v>
      </c>
      <c r="D66" s="50">
        <v>-1.35794474457018</v>
      </c>
      <c r="E66" s="32">
        <f t="shared" ref="E66:E91" si="7">C66-B66</f>
        <v>4.3295965993892001</v>
      </c>
      <c r="F66" s="32">
        <f t="shared" ref="F66:F91" si="8">D66-B66</f>
        <v>0.64205525542982</v>
      </c>
      <c r="G66" s="29">
        <v>100</v>
      </c>
      <c r="H66" s="33">
        <v>100000</v>
      </c>
      <c r="I66" s="33">
        <f t="shared" ref="I66:I91" si="9">(A66-C66)/G66</f>
        <v>1.7040340061079994E-3</v>
      </c>
      <c r="J66" s="33">
        <f t="shared" ref="J66:J91" si="10">(0-D66)/H66</f>
        <v>1.3579447445701801E-5</v>
      </c>
      <c r="K66" s="34">
        <f t="shared" ref="K66:K91" si="11">I66/J66</f>
        <v>125.48625508671668</v>
      </c>
      <c r="L66" s="19"/>
      <c r="M66" s="36">
        <f>L62/I66</f>
        <v>498816.3363836814</v>
      </c>
      <c r="N66" s="33">
        <f t="shared" ref="N66:N91" si="12">I66/0.025</f>
        <v>6.8161360244319971E-2</v>
      </c>
      <c r="O66" s="34">
        <f t="shared" ref="O66:O91" si="13">0.025/J66</f>
        <v>1841.0174714371799</v>
      </c>
    </row>
    <row r="67" spans="1:15" x14ac:dyDescent="0.3">
      <c r="A67" s="29">
        <v>3</v>
      </c>
      <c r="B67" s="29">
        <v>-2</v>
      </c>
      <c r="C67" s="50">
        <v>2.82950552742279</v>
      </c>
      <c r="D67" s="50">
        <v>-1.35794475841054</v>
      </c>
      <c r="E67" s="32">
        <f t="shared" si="7"/>
        <v>4.82950552742279</v>
      </c>
      <c r="F67" s="32">
        <f t="shared" si="8"/>
        <v>0.64205524158946004</v>
      </c>
      <c r="G67" s="29">
        <v>100</v>
      </c>
      <c r="H67" s="33">
        <v>100000</v>
      </c>
      <c r="I67" s="33">
        <f t="shared" si="9"/>
        <v>1.7049447257720994E-3</v>
      </c>
      <c r="J67" s="33">
        <f t="shared" si="10"/>
        <v>1.35794475841054E-5</v>
      </c>
      <c r="K67" s="34">
        <f t="shared" si="11"/>
        <v>125.55331983958753</v>
      </c>
      <c r="L67" s="19"/>
      <c r="M67" s="36">
        <f>L62/I67</f>
        <v>498549.88678009482</v>
      </c>
      <c r="N67" s="33">
        <f t="shared" si="12"/>
        <v>6.8197789030883971E-2</v>
      </c>
      <c r="O67" s="34">
        <f t="shared" si="13"/>
        <v>1841.0174526732765</v>
      </c>
    </row>
    <row r="68" spans="1:15" x14ac:dyDescent="0.3">
      <c r="A68" s="29">
        <v>3.5</v>
      </c>
      <c r="B68" s="29">
        <v>-2</v>
      </c>
      <c r="C68" s="50">
        <v>3.3294144561886401</v>
      </c>
      <c r="D68" s="50">
        <v>-1.35794474420012</v>
      </c>
      <c r="E68" s="32">
        <f t="shared" si="7"/>
        <v>5.3294144561886405</v>
      </c>
      <c r="F68" s="32">
        <f t="shared" si="8"/>
        <v>0.64205525579987999</v>
      </c>
      <c r="G68" s="29">
        <v>100</v>
      </c>
      <c r="H68" s="33">
        <v>100000</v>
      </c>
      <c r="I68" s="33">
        <f t="shared" si="9"/>
        <v>1.7058554381135993E-3</v>
      </c>
      <c r="J68" s="33">
        <f t="shared" si="10"/>
        <v>1.35794474420012E-5</v>
      </c>
      <c r="K68" s="34">
        <f t="shared" si="11"/>
        <v>125.62038664676386</v>
      </c>
      <c r="L68" s="19"/>
      <c r="M68" s="36">
        <f>L62/I68</f>
        <v>498283.72381892032</v>
      </c>
      <c r="N68" s="33">
        <f t="shared" si="12"/>
        <v>6.8234217524543964E-2</v>
      </c>
      <c r="O68" s="34">
        <f t="shared" si="13"/>
        <v>1841.0174719388845</v>
      </c>
    </row>
    <row r="69" spans="1:15" x14ac:dyDescent="0.3">
      <c r="A69" s="29">
        <v>4</v>
      </c>
      <c r="B69" s="29">
        <v>-2</v>
      </c>
      <c r="C69" s="50">
        <v>3.82932338423177</v>
      </c>
      <c r="D69" s="50">
        <v>-1.3579447580739501</v>
      </c>
      <c r="E69" s="32">
        <f t="shared" si="7"/>
        <v>5.8293233842317704</v>
      </c>
      <c r="F69" s="32">
        <f t="shared" si="8"/>
        <v>0.6420552419260499</v>
      </c>
      <c r="G69" s="29">
        <v>100</v>
      </c>
      <c r="H69" s="33">
        <v>100000</v>
      </c>
      <c r="I69" s="33">
        <f t="shared" si="9"/>
        <v>1.7067661576823001E-3</v>
      </c>
      <c r="J69" s="33">
        <f t="shared" si="10"/>
        <v>1.3579447580739501E-5</v>
      </c>
      <c r="K69" s="34">
        <f t="shared" si="11"/>
        <v>125.68745138816273</v>
      </c>
      <c r="L69" s="19"/>
      <c r="M69" s="36">
        <f>L62/I69</f>
        <v>498017.84279239277</v>
      </c>
      <c r="N69" s="33">
        <f t="shared" si="12"/>
        <v>6.8270646307292002E-2</v>
      </c>
      <c r="O69" s="34">
        <f t="shared" si="13"/>
        <v>1841.0174531296041</v>
      </c>
    </row>
    <row r="70" spans="1:15" x14ac:dyDescent="0.3">
      <c r="A70" s="29">
        <v>4.5</v>
      </c>
      <c r="B70" s="29">
        <v>-2</v>
      </c>
      <c r="C70" s="50">
        <v>4.3292323130052104</v>
      </c>
      <c r="D70" s="50">
        <v>-1.35794474394625</v>
      </c>
      <c r="E70" s="32">
        <f t="shared" si="7"/>
        <v>6.3292323130052104</v>
      </c>
      <c r="F70" s="32">
        <f t="shared" si="8"/>
        <v>0.64205525605375002</v>
      </c>
      <c r="G70" s="29">
        <v>100</v>
      </c>
      <c r="H70" s="33">
        <v>100000</v>
      </c>
      <c r="I70" s="33">
        <f t="shared" si="9"/>
        <v>1.707676869947896E-3</v>
      </c>
      <c r="J70" s="33">
        <f t="shared" si="10"/>
        <v>1.35794474394625E-5</v>
      </c>
      <c r="K70" s="34">
        <f t="shared" si="11"/>
        <v>125.75451818350932</v>
      </c>
      <c r="L70" s="19"/>
      <c r="M70" s="36">
        <f>L62/I70</f>
        <v>497752.24748809467</v>
      </c>
      <c r="N70" s="33">
        <f t="shared" si="12"/>
        <v>6.830707479791584E-2</v>
      </c>
      <c r="O70" s="34">
        <f t="shared" si="13"/>
        <v>1841.0174722830657</v>
      </c>
    </row>
    <row r="71" spans="1:15" x14ac:dyDescent="0.3">
      <c r="A71" s="29">
        <v>5</v>
      </c>
      <c r="B71" s="29">
        <v>-2</v>
      </c>
      <c r="C71" s="50">
        <v>4.8291412410376804</v>
      </c>
      <c r="D71" s="50">
        <v>-1.3579447577370201</v>
      </c>
      <c r="E71" s="32">
        <f t="shared" si="7"/>
        <v>6.8291412410376804</v>
      </c>
      <c r="F71" s="32">
        <f t="shared" si="8"/>
        <v>0.64205524226297994</v>
      </c>
      <c r="G71" s="29">
        <v>100</v>
      </c>
      <c r="H71" s="33">
        <v>100000</v>
      </c>
      <c r="I71" s="33">
        <f t="shared" si="9"/>
        <v>1.7085875896231961E-3</v>
      </c>
      <c r="J71" s="33">
        <f t="shared" si="10"/>
        <v>1.3579447577370201E-5</v>
      </c>
      <c r="K71" s="34">
        <f t="shared" si="11"/>
        <v>125.82158293909637</v>
      </c>
      <c r="L71" s="19"/>
      <c r="M71" s="36">
        <f>L62/I71</f>
        <v>497486.93316182581</v>
      </c>
      <c r="N71" s="33">
        <f t="shared" si="12"/>
        <v>6.8343503584927842E-2</v>
      </c>
      <c r="O71" s="34">
        <f t="shared" si="13"/>
        <v>1841.017453586393</v>
      </c>
    </row>
    <row r="72" spans="1:15" x14ac:dyDescent="0.3">
      <c r="A72" s="38">
        <v>0.5</v>
      </c>
      <c r="B72" s="38">
        <v>-1.5</v>
      </c>
      <c r="C72" s="51">
        <v>0.39755829552444399</v>
      </c>
      <c r="D72" s="51">
        <v>-0.87868933130817495</v>
      </c>
      <c r="E72" s="41">
        <f t="shared" si="7"/>
        <v>1.8975582955244441</v>
      </c>
      <c r="F72" s="41">
        <f t="shared" si="8"/>
        <v>0.62131066869182505</v>
      </c>
      <c r="G72" s="38">
        <v>100</v>
      </c>
      <c r="H72" s="42">
        <v>100000</v>
      </c>
      <c r="I72" s="42">
        <f t="shared" si="9"/>
        <v>1.0244170447555601E-3</v>
      </c>
      <c r="J72" s="42">
        <f t="shared" si="10"/>
        <v>8.7868933130817491E-6</v>
      </c>
      <c r="K72" s="43">
        <f t="shared" si="11"/>
        <v>116.58466858023969</v>
      </c>
      <c r="L72" s="44">
        <v>1000</v>
      </c>
      <c r="M72" s="45">
        <f>L72/I72</f>
        <v>976164.93704340281</v>
      </c>
      <c r="N72" s="42">
        <f t="shared" si="12"/>
        <v>4.0976681790222402E-2</v>
      </c>
      <c r="O72" s="43">
        <f t="shared" si="13"/>
        <v>2845.1466416213916</v>
      </c>
    </row>
    <row r="73" spans="1:15" x14ac:dyDescent="0.3">
      <c r="A73" s="38">
        <v>1</v>
      </c>
      <c r="B73" s="38">
        <v>-1.5</v>
      </c>
      <c r="C73" s="51">
        <v>0.89750352966848201</v>
      </c>
      <c r="D73" s="51">
        <v>-0.87868933112957104</v>
      </c>
      <c r="E73" s="41">
        <f t="shared" si="7"/>
        <v>2.3975035296684819</v>
      </c>
      <c r="F73" s="41">
        <f t="shared" si="8"/>
        <v>0.62131066887042896</v>
      </c>
      <c r="G73" s="38">
        <v>100</v>
      </c>
      <c r="H73" s="42">
        <v>100000</v>
      </c>
      <c r="I73" s="42">
        <f t="shared" si="9"/>
        <v>1.0249647033151799E-3</v>
      </c>
      <c r="J73" s="42">
        <f t="shared" si="10"/>
        <v>8.7868933112957107E-6</v>
      </c>
      <c r="K73" s="43">
        <f t="shared" si="11"/>
        <v>116.64699536041586</v>
      </c>
      <c r="L73" s="19"/>
      <c r="M73" s="45">
        <f>L72/I73</f>
        <v>975643.35314725153</v>
      </c>
      <c r="N73" s="42">
        <f t="shared" si="12"/>
        <v>4.0998588132607192E-2</v>
      </c>
      <c r="O73" s="43">
        <f t="shared" si="13"/>
        <v>2845.1466421997006</v>
      </c>
    </row>
    <row r="74" spans="1:15" x14ac:dyDescent="0.3">
      <c r="A74" s="38">
        <v>1.5</v>
      </c>
      <c r="B74" s="38">
        <v>-1.5</v>
      </c>
      <c r="C74" s="51">
        <v>1.39744876381247</v>
      </c>
      <c r="D74" s="51">
        <v>-0.878689330950021</v>
      </c>
      <c r="E74" s="41">
        <f t="shared" si="7"/>
        <v>2.89744876381247</v>
      </c>
      <c r="F74" s="41">
        <f t="shared" si="8"/>
        <v>0.621310669049979</v>
      </c>
      <c r="G74" s="38">
        <v>100</v>
      </c>
      <c r="H74" s="42">
        <v>100000</v>
      </c>
      <c r="I74" s="42">
        <f t="shared" si="9"/>
        <v>1.0255123618753005E-3</v>
      </c>
      <c r="J74" s="42">
        <f t="shared" si="10"/>
        <v>8.7868933095002092E-6</v>
      </c>
      <c r="K74" s="43">
        <f t="shared" si="11"/>
        <v>116.70932214080004</v>
      </c>
      <c r="L74" s="19"/>
      <c r="M74" s="45">
        <f>L72/I74</f>
        <v>975122.32633778558</v>
      </c>
      <c r="N74" s="42">
        <f t="shared" si="12"/>
        <v>4.1020494475012013E-2</v>
      </c>
      <c r="O74" s="43">
        <f t="shared" si="13"/>
        <v>2845.1466427810742</v>
      </c>
    </row>
    <row r="75" spans="1:15" x14ac:dyDescent="0.3">
      <c r="A75" s="38">
        <v>2</v>
      </c>
      <c r="B75" s="38">
        <v>-1.5</v>
      </c>
      <c r="C75" s="51">
        <v>1.8973939979568799</v>
      </c>
      <c r="D75" s="51">
        <v>-0.87868933076973799</v>
      </c>
      <c r="E75" s="41">
        <f t="shared" si="7"/>
        <v>3.3973939979568799</v>
      </c>
      <c r="F75" s="41">
        <f t="shared" si="8"/>
        <v>0.62131066923026201</v>
      </c>
      <c r="G75" s="38">
        <v>100</v>
      </c>
      <c r="H75" s="42">
        <v>100000</v>
      </c>
      <c r="I75" s="42">
        <f t="shared" si="9"/>
        <v>1.0260600204312009E-3</v>
      </c>
      <c r="J75" s="42">
        <f t="shared" si="10"/>
        <v>8.7868933076973792E-6</v>
      </c>
      <c r="K75" s="43">
        <f t="shared" si="11"/>
        <v>116.77164892082679</v>
      </c>
      <c r="L75" s="19"/>
      <c r="M75" s="45">
        <f>L72/I75</f>
        <v>974601.85572745616</v>
      </c>
      <c r="N75" s="42">
        <f t="shared" si="12"/>
        <v>4.1042400817248033E-2</v>
      </c>
      <c r="O75" s="43">
        <f t="shared" si="13"/>
        <v>2845.1466433648202</v>
      </c>
    </row>
    <row r="76" spans="1:15" x14ac:dyDescent="0.3">
      <c r="A76" s="38">
        <v>2.5</v>
      </c>
      <c r="B76" s="38">
        <v>-1.5</v>
      </c>
      <c r="C76" s="51">
        <v>2.3973392321005602</v>
      </c>
      <c r="D76" s="51">
        <v>-0.87868933058825105</v>
      </c>
      <c r="E76" s="41">
        <f t="shared" si="7"/>
        <v>3.8973392321005602</v>
      </c>
      <c r="F76" s="41">
        <f t="shared" si="8"/>
        <v>0.62131066941174895</v>
      </c>
      <c r="G76" s="38">
        <v>100</v>
      </c>
      <c r="H76" s="42">
        <v>100000</v>
      </c>
      <c r="I76" s="42">
        <f t="shared" si="9"/>
        <v>1.0266076789943979E-3</v>
      </c>
      <c r="J76" s="42">
        <f t="shared" si="10"/>
        <v>8.7868933058825112E-6</v>
      </c>
      <c r="K76" s="43">
        <f t="shared" si="11"/>
        <v>116.8339757018696</v>
      </c>
      <c r="L76" s="19"/>
      <c r="M76" s="45">
        <f>L72/I76</f>
        <v>974081.94041519228</v>
      </c>
      <c r="N76" s="42">
        <f t="shared" si="12"/>
        <v>4.1064307159775916E-2</v>
      </c>
      <c r="O76" s="43">
        <f t="shared" si="13"/>
        <v>2845.1466439524643</v>
      </c>
    </row>
    <row r="77" spans="1:15" x14ac:dyDescent="0.3">
      <c r="A77" s="38">
        <v>3</v>
      </c>
      <c r="B77" s="38">
        <v>-1.5</v>
      </c>
      <c r="C77" s="51">
        <v>2.8972844662441002</v>
      </c>
      <c r="D77" s="51">
        <v>-0.8786893304058</v>
      </c>
      <c r="E77" s="41">
        <f t="shared" si="7"/>
        <v>4.3972844662441002</v>
      </c>
      <c r="F77" s="41">
        <f t="shared" si="8"/>
        <v>0.6213106695942</v>
      </c>
      <c r="G77" s="38">
        <v>100</v>
      </c>
      <c r="H77" s="42">
        <v>100000</v>
      </c>
      <c r="I77" s="42">
        <f t="shared" si="9"/>
        <v>1.0271553375589982E-3</v>
      </c>
      <c r="J77" s="42">
        <f t="shared" si="10"/>
        <v>8.7868933040580005E-6</v>
      </c>
      <c r="K77" s="43">
        <f t="shared" si="11"/>
        <v>116.89630248322612</v>
      </c>
      <c r="L77" s="19"/>
      <c r="M77" s="45">
        <f>L72/I77</f>
        <v>973562.57951836963</v>
      </c>
      <c r="N77" s="42">
        <f t="shared" si="12"/>
        <v>4.1086213502359928E-2</v>
      </c>
      <c r="O77" s="43">
        <f t="shared" si="13"/>
        <v>2845.1466445432307</v>
      </c>
    </row>
    <row r="78" spans="1:15" x14ac:dyDescent="0.3">
      <c r="A78" s="38">
        <v>3.5</v>
      </c>
      <c r="B78" s="38">
        <v>-1.5</v>
      </c>
      <c r="C78" s="51">
        <v>3.3972297003872001</v>
      </c>
      <c r="D78" s="51">
        <v>-0.87868933022225504</v>
      </c>
      <c r="E78" s="41">
        <f t="shared" si="7"/>
        <v>4.8972297003872001</v>
      </c>
      <c r="F78" s="41">
        <f t="shared" si="8"/>
        <v>0.62131066977774496</v>
      </c>
      <c r="G78" s="38">
        <v>100</v>
      </c>
      <c r="H78" s="42">
        <v>100000</v>
      </c>
      <c r="I78" s="42">
        <f t="shared" si="9"/>
        <v>1.0277029961279992E-3</v>
      </c>
      <c r="J78" s="42">
        <f t="shared" si="10"/>
        <v>8.7868933022225496E-6</v>
      </c>
      <c r="K78" s="43">
        <f t="shared" si="11"/>
        <v>116.95862926525497</v>
      </c>
      <c r="L78" s="19"/>
      <c r="M78" s="45">
        <f>L72/I78</f>
        <v>973043.77214781533</v>
      </c>
      <c r="N78" s="42">
        <f t="shared" si="12"/>
        <v>4.1108119845119966E-2</v>
      </c>
      <c r="O78" s="43">
        <f t="shared" si="13"/>
        <v>2845.1466451375395</v>
      </c>
    </row>
    <row r="79" spans="1:15" x14ac:dyDescent="0.3">
      <c r="A79" s="38">
        <v>4</v>
      </c>
      <c r="B79" s="38">
        <v>-1.5</v>
      </c>
      <c r="C79" s="51">
        <v>3.8971749345309199</v>
      </c>
      <c r="D79" s="51">
        <v>-0.87868933003803795</v>
      </c>
      <c r="E79" s="41">
        <f t="shared" si="7"/>
        <v>5.3971749345309199</v>
      </c>
      <c r="F79" s="41">
        <f t="shared" si="8"/>
        <v>0.62131066996196205</v>
      </c>
      <c r="G79" s="38">
        <v>100</v>
      </c>
      <c r="H79" s="42">
        <v>100000</v>
      </c>
      <c r="I79" s="42">
        <f t="shared" si="9"/>
        <v>1.028250654690801E-3</v>
      </c>
      <c r="J79" s="42">
        <f t="shared" si="10"/>
        <v>8.78689330038038E-6</v>
      </c>
      <c r="K79" s="43">
        <f t="shared" si="11"/>
        <v>117.02095604669384</v>
      </c>
      <c r="L79" s="19"/>
      <c r="M79" s="45">
        <f>L72/I79</f>
        <v>972525.51742911746</v>
      </c>
      <c r="N79" s="42">
        <f t="shared" si="12"/>
        <v>4.1130026187632035E-2</v>
      </c>
      <c r="O79" s="43">
        <f t="shared" si="13"/>
        <v>2845.1466457340234</v>
      </c>
    </row>
    <row r="80" spans="1:15" x14ac:dyDescent="0.3">
      <c r="A80" s="38">
        <v>4.5</v>
      </c>
      <c r="B80" s="38">
        <v>-1.5</v>
      </c>
      <c r="C80" s="51">
        <v>4.3971201686734602</v>
      </c>
      <c r="D80" s="51">
        <v>-0.87868932985246295</v>
      </c>
      <c r="E80" s="41">
        <f t="shared" si="7"/>
        <v>5.8971201686734602</v>
      </c>
      <c r="F80" s="41">
        <f t="shared" si="8"/>
        <v>0.62131067014753705</v>
      </c>
      <c r="G80" s="38">
        <v>100</v>
      </c>
      <c r="H80" s="42">
        <v>100000</v>
      </c>
      <c r="I80" s="42">
        <f t="shared" si="9"/>
        <v>1.0287983132653978E-3</v>
      </c>
      <c r="J80" s="42">
        <f t="shared" si="10"/>
        <v>8.7868932985246291E-6</v>
      </c>
      <c r="K80" s="43">
        <f t="shared" si="11"/>
        <v>117.08328282968215</v>
      </c>
      <c r="L80" s="19"/>
      <c r="M80" s="45">
        <f>L72/I80</f>
        <v>972007.81446268875</v>
      </c>
      <c r="N80" s="42">
        <f t="shared" si="12"/>
        <v>4.1151932530615908E-2</v>
      </c>
      <c r="O80" s="43">
        <f t="shared" si="13"/>
        <v>2845.1466463349052</v>
      </c>
    </row>
    <row r="81" spans="1:15" x14ac:dyDescent="0.3">
      <c r="A81" s="38">
        <v>5</v>
      </c>
      <c r="B81" s="38">
        <v>-1.5</v>
      </c>
      <c r="C81" s="51">
        <v>4.8970654028166098</v>
      </c>
      <c r="D81" s="51">
        <v>-0.87868932966619095</v>
      </c>
      <c r="E81" s="41">
        <f t="shared" si="7"/>
        <v>6.3970654028166098</v>
      </c>
      <c r="F81" s="41">
        <f t="shared" si="8"/>
        <v>0.62131067033380905</v>
      </c>
      <c r="G81" s="38">
        <v>100</v>
      </c>
      <c r="H81" s="42">
        <v>100000</v>
      </c>
      <c r="I81" s="42">
        <f t="shared" si="9"/>
        <v>1.0293459718339016E-3</v>
      </c>
      <c r="J81" s="42">
        <f t="shared" si="10"/>
        <v>8.7868932966619087E-6</v>
      </c>
      <c r="K81" s="43">
        <f t="shared" si="11"/>
        <v>117.14560961209628</v>
      </c>
      <c r="L81" s="19"/>
      <c r="M81" s="45">
        <f>L72/I81</f>
        <v>971490.66238475847</v>
      </c>
      <c r="N81" s="42">
        <f t="shared" si="12"/>
        <v>4.1173838873356065E-2</v>
      </c>
      <c r="O81" s="43">
        <f t="shared" si="13"/>
        <v>2845.1466469380434</v>
      </c>
    </row>
    <row r="82" spans="1:15" x14ac:dyDescent="0.3">
      <c r="A82" s="11">
        <v>0.5</v>
      </c>
      <c r="B82" s="11">
        <v>-1</v>
      </c>
      <c r="C82" s="48">
        <v>0.46042988574444599</v>
      </c>
      <c r="D82" s="48">
        <v>-0.41670570229817899</v>
      </c>
      <c r="E82" s="14">
        <f t="shared" si="7"/>
        <v>1.460429885744446</v>
      </c>
      <c r="F82" s="14">
        <f t="shared" si="8"/>
        <v>0.58329429770182095</v>
      </c>
      <c r="G82" s="11">
        <v>100</v>
      </c>
      <c r="H82" s="15">
        <v>100000</v>
      </c>
      <c r="I82" s="15">
        <f t="shared" si="9"/>
        <v>3.9570114255554011E-4</v>
      </c>
      <c r="J82" s="15">
        <f t="shared" si="10"/>
        <v>4.1670570229817896E-6</v>
      </c>
      <c r="K82" s="16">
        <f t="shared" si="11"/>
        <v>94.959377895047666</v>
      </c>
      <c r="L82" s="17">
        <v>1000</v>
      </c>
      <c r="M82" s="18">
        <f>L82/I82</f>
        <v>2527159.7487481129</v>
      </c>
      <c r="N82" s="15">
        <f t="shared" si="12"/>
        <v>1.5828045702221603E-2</v>
      </c>
      <c r="O82" s="16">
        <f t="shared" si="13"/>
        <v>5999.4379395631449</v>
      </c>
    </row>
    <row r="83" spans="1:15" x14ac:dyDescent="0.3">
      <c r="A83" s="11">
        <v>1</v>
      </c>
      <c r="B83" s="11">
        <v>-1</v>
      </c>
      <c r="C83" s="48">
        <v>0.96040881192349203</v>
      </c>
      <c r="D83" s="48">
        <v>-0.41670570200400397</v>
      </c>
      <c r="E83" s="14">
        <f t="shared" si="7"/>
        <v>1.9604088119234921</v>
      </c>
      <c r="F83" s="14">
        <f t="shared" si="8"/>
        <v>0.58329429799599608</v>
      </c>
      <c r="G83" s="11">
        <v>100</v>
      </c>
      <c r="H83" s="15">
        <v>100000</v>
      </c>
      <c r="I83" s="15">
        <f t="shared" si="9"/>
        <v>3.9591188076507967E-4</v>
      </c>
      <c r="J83" s="15">
        <f t="shared" si="10"/>
        <v>4.1670570200400399E-6</v>
      </c>
      <c r="K83" s="16">
        <f t="shared" si="11"/>
        <v>95.009950394505395</v>
      </c>
      <c r="L83" s="19"/>
      <c r="M83" s="18">
        <f>L82/I83</f>
        <v>2525814.5778993815</v>
      </c>
      <c r="N83" s="15">
        <f t="shared" si="12"/>
        <v>1.5836475230603185E-2</v>
      </c>
      <c r="O83" s="16">
        <f t="shared" si="13"/>
        <v>5999.4379437984708</v>
      </c>
    </row>
    <row r="84" spans="1:15" x14ac:dyDescent="0.3">
      <c r="A84" s="11">
        <v>1.5</v>
      </c>
      <c r="B84" s="11">
        <v>-1</v>
      </c>
      <c r="C84" s="48">
        <v>1.46038773810209</v>
      </c>
      <c r="D84" s="48">
        <v>-0.41670570170971699</v>
      </c>
      <c r="E84" s="14">
        <f t="shared" si="7"/>
        <v>2.46038773810209</v>
      </c>
      <c r="F84" s="14">
        <f t="shared" si="8"/>
        <v>0.58329429829028301</v>
      </c>
      <c r="G84" s="11">
        <v>100</v>
      </c>
      <c r="H84" s="15">
        <v>100000</v>
      </c>
      <c r="I84" s="15">
        <f t="shared" si="9"/>
        <v>3.9612261897910007E-4</v>
      </c>
      <c r="J84" s="15">
        <f t="shared" si="10"/>
        <v>4.1670570170971696E-6</v>
      </c>
      <c r="K84" s="16">
        <f t="shared" si="11"/>
        <v>95.060522895135392</v>
      </c>
      <c r="L84" s="19"/>
      <c r="M84" s="18">
        <f>L82/I84</f>
        <v>2524470.8382905074</v>
      </c>
      <c r="N84" s="15">
        <f t="shared" si="12"/>
        <v>1.5844904759164002E-2</v>
      </c>
      <c r="O84" s="16">
        <f t="shared" si="13"/>
        <v>5999.43794803541</v>
      </c>
    </row>
    <row r="85" spans="1:15" x14ac:dyDescent="0.3">
      <c r="A85" s="11">
        <v>2</v>
      </c>
      <c r="B85" s="11">
        <v>-1</v>
      </c>
      <c r="C85" s="48">
        <v>1.9603666642805599</v>
      </c>
      <c r="D85" s="48">
        <v>-0.41670570141563401</v>
      </c>
      <c r="E85" s="14">
        <f t="shared" si="7"/>
        <v>2.9603666642805599</v>
      </c>
      <c r="F85" s="14">
        <f t="shared" si="8"/>
        <v>0.58329429858436599</v>
      </c>
      <c r="G85" s="11">
        <v>100</v>
      </c>
      <c r="H85" s="15">
        <v>100000</v>
      </c>
      <c r="I85" s="15">
        <f t="shared" si="9"/>
        <v>3.9633335719440054E-4</v>
      </c>
      <c r="J85" s="15">
        <f t="shared" si="10"/>
        <v>4.1670570141563398E-6</v>
      </c>
      <c r="K85" s="16">
        <f t="shared" si="11"/>
        <v>95.111095396097426</v>
      </c>
      <c r="L85" s="19"/>
      <c r="M85" s="18">
        <f>L82/I85</f>
        <v>2523128.5276588579</v>
      </c>
      <c r="N85" s="15">
        <f t="shared" si="12"/>
        <v>1.5853334287776022E-2</v>
      </c>
      <c r="O85" s="16">
        <f t="shared" si="13"/>
        <v>5999.4379522694117</v>
      </c>
    </row>
    <row r="86" spans="1:15" x14ac:dyDescent="0.3">
      <c r="A86" s="11">
        <v>2.5</v>
      </c>
      <c r="B86" s="11">
        <v>-1</v>
      </c>
      <c r="C86" s="48">
        <v>2.4603455904585498</v>
      </c>
      <c r="D86" s="48">
        <v>-0.41670570112140998</v>
      </c>
      <c r="E86" s="14">
        <f t="shared" si="7"/>
        <v>3.4603455904585498</v>
      </c>
      <c r="F86" s="14">
        <f t="shared" si="8"/>
        <v>0.58329429887859008</v>
      </c>
      <c r="G86" s="11">
        <v>100</v>
      </c>
      <c r="H86" s="15">
        <v>100000</v>
      </c>
      <c r="I86" s="15">
        <f t="shared" si="9"/>
        <v>3.9654409541450163E-4</v>
      </c>
      <c r="J86" s="15">
        <f t="shared" si="10"/>
        <v>4.1670570112140998E-6</v>
      </c>
      <c r="K86" s="16">
        <f t="shared" si="11"/>
        <v>95.161667898315088</v>
      </c>
      <c r="L86" s="19"/>
      <c r="M86" s="18">
        <f>L82/I86</f>
        <v>2521787.643703823</v>
      </c>
      <c r="N86" s="15">
        <f t="shared" si="12"/>
        <v>1.5861763816580065E-2</v>
      </c>
      <c r="O86" s="16">
        <f t="shared" si="13"/>
        <v>5999.4379565054442</v>
      </c>
    </row>
    <row r="87" spans="1:15" x14ac:dyDescent="0.3">
      <c r="A87" s="11">
        <v>3</v>
      </c>
      <c r="B87" s="11">
        <v>-1</v>
      </c>
      <c r="C87" s="48">
        <v>2.9603245166362901</v>
      </c>
      <c r="D87" s="48">
        <v>-0.41670570082727498</v>
      </c>
      <c r="E87" s="14">
        <f t="shared" si="7"/>
        <v>3.9603245166362901</v>
      </c>
      <c r="F87" s="14">
        <f t="shared" si="8"/>
        <v>0.58329429917272502</v>
      </c>
      <c r="G87" s="11">
        <v>100</v>
      </c>
      <c r="H87" s="15">
        <v>100000</v>
      </c>
      <c r="I87" s="15">
        <f t="shared" si="9"/>
        <v>3.9675483363709851E-4</v>
      </c>
      <c r="J87" s="15">
        <f t="shared" si="10"/>
        <v>4.1670570082727499E-6</v>
      </c>
      <c r="K87" s="16">
        <f t="shared" si="11"/>
        <v>95.212240401182768</v>
      </c>
      <c r="L87" s="19"/>
      <c r="M87" s="18">
        <f>L82/I87</f>
        <v>2520448.184166735</v>
      </c>
      <c r="N87" s="15">
        <f t="shared" si="12"/>
        <v>1.5870193345483938E-2</v>
      </c>
      <c r="O87" s="16">
        <f t="shared" si="13"/>
        <v>5999.4379607401943</v>
      </c>
    </row>
    <row r="88" spans="1:15" x14ac:dyDescent="0.3">
      <c r="A88" s="11">
        <v>3.5</v>
      </c>
      <c r="B88" s="11">
        <v>-1</v>
      </c>
      <c r="C88" s="48">
        <v>3.4603034428136201</v>
      </c>
      <c r="D88" s="48">
        <v>-0.416705700533062</v>
      </c>
      <c r="E88" s="14">
        <f t="shared" si="7"/>
        <v>4.4603034428136201</v>
      </c>
      <c r="F88" s="14">
        <f t="shared" si="8"/>
        <v>0.583294299466938</v>
      </c>
      <c r="G88" s="11">
        <v>100</v>
      </c>
      <c r="H88" s="15">
        <v>100000</v>
      </c>
      <c r="I88" s="15">
        <f t="shared" si="9"/>
        <v>3.9696557186379877E-4</v>
      </c>
      <c r="J88" s="15">
        <f t="shared" si="10"/>
        <v>4.1670570053306199E-6</v>
      </c>
      <c r="K88" s="16">
        <f t="shared" si="11"/>
        <v>95.262812905124392</v>
      </c>
      <c r="L88" s="19"/>
      <c r="M88" s="18">
        <f>L82/I88</f>
        <v>2519110.1467688638</v>
      </c>
      <c r="N88" s="15">
        <f t="shared" si="12"/>
        <v>1.587862287455195E-2</v>
      </c>
      <c r="O88" s="16">
        <f t="shared" si="13"/>
        <v>5999.4379649760676</v>
      </c>
    </row>
    <row r="89" spans="1:15" x14ac:dyDescent="0.3">
      <c r="A89" s="11">
        <v>4</v>
      </c>
      <c r="B89" s="11">
        <v>-1</v>
      </c>
      <c r="C89" s="48">
        <v>3.9602823689905602</v>
      </c>
      <c r="D89" s="48">
        <v>-0.41670570023876302</v>
      </c>
      <c r="E89" s="14">
        <f t="shared" si="7"/>
        <v>4.9602823689905602</v>
      </c>
      <c r="F89" s="14">
        <f t="shared" si="8"/>
        <v>0.58329429976123692</v>
      </c>
      <c r="G89" s="11">
        <v>100</v>
      </c>
      <c r="H89" s="15">
        <v>100000</v>
      </c>
      <c r="I89" s="15">
        <f t="shared" si="9"/>
        <v>3.9717631009439814E-4</v>
      </c>
      <c r="J89" s="15">
        <f t="shared" si="10"/>
        <v>4.1670570023876302E-6</v>
      </c>
      <c r="K89" s="16">
        <f t="shared" si="11"/>
        <v>95.313385410092792</v>
      </c>
      <c r="L89" s="19"/>
      <c r="M89" s="18">
        <f>L82/I89</f>
        <v>2517773.5292478218</v>
      </c>
      <c r="N89" s="15">
        <f t="shared" si="12"/>
        <v>1.5887052403775925E-2</v>
      </c>
      <c r="O89" s="16">
        <f t="shared" si="13"/>
        <v>5999.4379692131788</v>
      </c>
    </row>
    <row r="90" spans="1:15" x14ac:dyDescent="0.3">
      <c r="A90" s="11">
        <v>4.5</v>
      </c>
      <c r="B90" s="11">
        <v>-1</v>
      </c>
      <c r="C90" s="48">
        <v>4.4602612951671903</v>
      </c>
      <c r="D90" s="48">
        <v>-0.416705699944526</v>
      </c>
      <c r="E90" s="14">
        <f t="shared" si="7"/>
        <v>5.4602612951671903</v>
      </c>
      <c r="F90" s="14">
        <f t="shared" si="8"/>
        <v>0.583294300055474</v>
      </c>
      <c r="G90" s="11">
        <v>100</v>
      </c>
      <c r="H90" s="15">
        <v>100000</v>
      </c>
      <c r="I90" s="15">
        <f t="shared" si="9"/>
        <v>3.9738704832809724E-4</v>
      </c>
      <c r="J90" s="15">
        <f t="shared" si="10"/>
        <v>4.1670569994452597E-6</v>
      </c>
      <c r="K90" s="16">
        <f t="shared" si="11"/>
        <v>95.363957915862315</v>
      </c>
      <c r="L90" s="19"/>
      <c r="M90" s="18">
        <f>L82/I90</f>
        <v>2516438.329349787</v>
      </c>
      <c r="N90" s="15">
        <f t="shared" si="12"/>
        <v>1.589548193312389E-2</v>
      </c>
      <c r="O90" s="16">
        <f t="shared" si="13"/>
        <v>5999.4379734493987</v>
      </c>
    </row>
    <row r="91" spans="1:15" x14ac:dyDescent="0.3">
      <c r="A91" s="11">
        <v>5</v>
      </c>
      <c r="B91" s="11">
        <v>-1</v>
      </c>
      <c r="C91" s="48">
        <v>4.9602402213437102</v>
      </c>
      <c r="D91" s="48">
        <v>-0.41670569965047599</v>
      </c>
      <c r="E91" s="14">
        <f t="shared" si="7"/>
        <v>5.9602402213437102</v>
      </c>
      <c r="F91" s="14">
        <f t="shared" si="8"/>
        <v>0.58329430034952401</v>
      </c>
      <c r="G91" s="11">
        <v>100</v>
      </c>
      <c r="H91" s="15">
        <v>100000</v>
      </c>
      <c r="I91" s="15">
        <f t="shared" si="9"/>
        <v>3.9759778656289768E-4</v>
      </c>
      <c r="J91" s="15">
        <f t="shared" si="10"/>
        <v>4.1670569965047602E-6</v>
      </c>
      <c r="K91" s="16">
        <f t="shared" si="11"/>
        <v>95.414530421924709</v>
      </c>
      <c r="L91" s="19"/>
      <c r="M91" s="18">
        <f>L82/I91</f>
        <v>2515104.544833289</v>
      </c>
      <c r="N91" s="15">
        <f t="shared" si="12"/>
        <v>1.5903911462515907E-2</v>
      </c>
      <c r="O91" s="16">
        <f t="shared" si="13"/>
        <v>5999.4379776829246</v>
      </c>
    </row>
  </sheetData>
  <mergeCells count="9">
    <mergeCell ref="L62:L71"/>
    <mergeCell ref="L72:L81"/>
    <mergeCell ref="L82:L91"/>
    <mergeCell ref="L22:L31"/>
    <mergeCell ref="L2:L11"/>
    <mergeCell ref="L12:L21"/>
    <mergeCell ref="L32:L41"/>
    <mergeCell ref="L42:L51"/>
    <mergeCell ref="L52:L6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1"/>
  <sheetViews>
    <sheetView zoomScaleNormal="100" workbookViewId="0">
      <pane ySplit="1" topLeftCell="A2" activePane="bottomLeft" state="frozen"/>
      <selection pane="bottomLeft" activeCell="I72" sqref="I72"/>
    </sheetView>
  </sheetViews>
  <sheetFormatPr defaultColWidth="9" defaultRowHeight="14.4" x14ac:dyDescent="0.3"/>
  <cols>
    <col min="1" max="1" width="8.88671875" style="6" bestFit="1" customWidth="1"/>
    <col min="2" max="2" width="8.5546875" style="6" bestFit="1" customWidth="1"/>
    <col min="3" max="4" width="14.109375" style="6" bestFit="1" customWidth="1"/>
    <col min="5" max="5" width="10" style="6" bestFit="1" customWidth="1"/>
    <col min="6" max="6" width="12.21875" style="6" bestFit="1" customWidth="1"/>
    <col min="7" max="8" width="9.109375" style="6" bestFit="1" customWidth="1"/>
    <col min="9" max="9" width="8.21875" style="10" bestFit="1" customWidth="1"/>
    <col min="10" max="10" width="9" style="6" bestFit="1" customWidth="1"/>
    <col min="11" max="11" width="8.21875" style="9" bestFit="1" customWidth="1"/>
    <col min="12" max="12" width="10.5546875" style="9" bestFit="1" customWidth="1"/>
    <col min="13" max="13" width="9" style="9" bestFit="1" customWidth="1"/>
    <col min="14" max="14" width="13.21875" style="10" bestFit="1" customWidth="1"/>
    <col min="15" max="15" width="12.44140625" style="9" bestFit="1" customWidth="1"/>
    <col min="16" max="16384" width="9" style="6"/>
  </cols>
  <sheetData>
    <row r="1" spans="1:15" x14ac:dyDescent="0.3">
      <c r="A1" s="6" t="s">
        <v>13</v>
      </c>
      <c r="B1" s="6" t="s">
        <v>14</v>
      </c>
      <c r="C1" s="6" t="s">
        <v>0</v>
      </c>
      <c r="D1" s="6" t="s">
        <v>1</v>
      </c>
      <c r="E1" s="6" t="s">
        <v>8</v>
      </c>
      <c r="F1" s="6" t="s">
        <v>15</v>
      </c>
      <c r="G1" s="6" t="s">
        <v>2</v>
      </c>
      <c r="H1" s="6" t="s">
        <v>3</v>
      </c>
      <c r="I1" s="10" t="s">
        <v>4</v>
      </c>
      <c r="J1" s="6" t="s">
        <v>5</v>
      </c>
      <c r="K1" s="9" t="s">
        <v>21</v>
      </c>
      <c r="L1" s="9" t="s">
        <v>9</v>
      </c>
      <c r="M1" s="9" t="s">
        <v>12</v>
      </c>
      <c r="N1" s="10" t="s">
        <v>10</v>
      </c>
      <c r="O1" s="9" t="s">
        <v>11</v>
      </c>
    </row>
    <row r="2" spans="1:15" x14ac:dyDescent="0.3">
      <c r="A2" s="11">
        <v>0.5</v>
      </c>
      <c r="B2" s="11">
        <v>-5</v>
      </c>
      <c r="C2" s="12">
        <v>-0.74879999999999902</v>
      </c>
      <c r="D2" s="12">
        <v>-4.2968000000000002</v>
      </c>
      <c r="E2" s="11">
        <f>C2-B2</f>
        <v>4.2512000000000008</v>
      </c>
      <c r="F2" s="11">
        <f t="shared" ref="F2:F65" si="0">D2-B2</f>
        <v>0.70319999999999983</v>
      </c>
      <c r="G2" s="11">
        <v>100</v>
      </c>
      <c r="H2" s="15">
        <v>100000</v>
      </c>
      <c r="I2" s="15">
        <f t="shared" ref="I2:I65" si="1">(A2-C2)/G2</f>
        <v>1.248799999999999E-2</v>
      </c>
      <c r="J2" s="15">
        <f t="shared" ref="J2:J65" si="2">(0-D2)/H2</f>
        <v>4.2967999999999999E-5</v>
      </c>
      <c r="K2" s="16">
        <f t="shared" ref="K2:K65" si="3">I2/J2</f>
        <v>290.63489108173502</v>
      </c>
      <c r="L2" s="17">
        <v>27</v>
      </c>
      <c r="M2" s="18">
        <f>L2/I2</f>
        <v>2162.0755925688677</v>
      </c>
      <c r="N2" s="15">
        <f>I2/0.025</f>
        <v>0.49951999999999958</v>
      </c>
      <c r="O2" s="16">
        <f>0.025/J2</f>
        <v>581.82833736734324</v>
      </c>
    </row>
    <row r="3" spans="1:15" x14ac:dyDescent="0.3">
      <c r="A3" s="11">
        <v>1</v>
      </c>
      <c r="B3" s="11">
        <v>-5</v>
      </c>
      <c r="C3" s="12">
        <v>-0.25919999999999999</v>
      </c>
      <c r="D3" s="12">
        <v>-4.298</v>
      </c>
      <c r="E3" s="11">
        <f t="shared" ref="E3:E66" si="4">C3-B3</f>
        <v>4.7408000000000001</v>
      </c>
      <c r="F3" s="11">
        <f t="shared" si="0"/>
        <v>0.70199999999999996</v>
      </c>
      <c r="G3" s="11">
        <v>100</v>
      </c>
      <c r="H3" s="15">
        <v>100000</v>
      </c>
      <c r="I3" s="15">
        <f t="shared" si="1"/>
        <v>1.2591999999999999E-2</v>
      </c>
      <c r="J3" s="15">
        <f t="shared" si="2"/>
        <v>4.2979999999999998E-5</v>
      </c>
      <c r="K3" s="16">
        <f t="shared" si="3"/>
        <v>292.97347603536525</v>
      </c>
      <c r="L3" s="19"/>
      <c r="M3" s="18">
        <f>L2/I3</f>
        <v>2144.2185514612456</v>
      </c>
      <c r="N3" s="15">
        <f t="shared" ref="N3:N66" si="5">I3/0.025</f>
        <v>0.50367999999999991</v>
      </c>
      <c r="O3" s="16">
        <f t="shared" ref="O3:O66" si="6">0.025/J3</f>
        <v>581.66589111214523</v>
      </c>
    </row>
    <row r="4" spans="1:15" x14ac:dyDescent="0.3">
      <c r="A4" s="11">
        <v>1.5</v>
      </c>
      <c r="B4" s="11">
        <v>-5</v>
      </c>
      <c r="C4" s="12">
        <v>0.22720000000000001</v>
      </c>
      <c r="D4" s="12">
        <v>-4.2991999999999999</v>
      </c>
      <c r="E4" s="11">
        <f t="shared" si="4"/>
        <v>5.2271999999999998</v>
      </c>
      <c r="F4" s="11">
        <f t="shared" si="0"/>
        <v>0.70080000000000009</v>
      </c>
      <c r="G4" s="11">
        <v>100</v>
      </c>
      <c r="H4" s="15">
        <v>100000</v>
      </c>
      <c r="I4" s="15">
        <f t="shared" si="1"/>
        <v>1.2728E-2</v>
      </c>
      <c r="J4" s="15">
        <f t="shared" si="2"/>
        <v>4.2991999999999998E-5</v>
      </c>
      <c r="K4" s="16">
        <f t="shared" si="3"/>
        <v>296.05508001488653</v>
      </c>
      <c r="L4" s="19"/>
      <c r="M4" s="18">
        <f>L2/I4</f>
        <v>2121.3073538654935</v>
      </c>
      <c r="N4" s="15">
        <f t="shared" si="5"/>
        <v>0.50911999999999991</v>
      </c>
      <c r="O4" s="16">
        <f t="shared" si="6"/>
        <v>581.50353554149615</v>
      </c>
    </row>
    <row r="5" spans="1:15" x14ac:dyDescent="0.3">
      <c r="A5" s="11">
        <v>2</v>
      </c>
      <c r="B5" s="11">
        <v>-5</v>
      </c>
      <c r="C5" s="12">
        <v>0.71279999999999999</v>
      </c>
      <c r="D5" s="12">
        <v>-4.3015999999999996</v>
      </c>
      <c r="E5" s="11">
        <f t="shared" si="4"/>
        <v>5.7127999999999997</v>
      </c>
      <c r="F5" s="11">
        <f t="shared" si="0"/>
        <v>0.69840000000000035</v>
      </c>
      <c r="G5" s="11">
        <v>100</v>
      </c>
      <c r="H5" s="15">
        <v>100000</v>
      </c>
      <c r="I5" s="15">
        <f t="shared" si="1"/>
        <v>1.2872E-2</v>
      </c>
      <c r="J5" s="15">
        <f t="shared" si="2"/>
        <v>4.3015999999999996E-5</v>
      </c>
      <c r="K5" s="16">
        <f t="shared" si="3"/>
        <v>299.23749302585088</v>
      </c>
      <c r="L5" s="19"/>
      <c r="M5" s="18">
        <f>L2/I5</f>
        <v>2097.5761342448727</v>
      </c>
      <c r="N5" s="15">
        <f t="shared" si="5"/>
        <v>0.51488</v>
      </c>
      <c r="O5" s="16">
        <f t="shared" si="6"/>
        <v>581.17909615026974</v>
      </c>
    </row>
    <row r="6" spans="1:15" x14ac:dyDescent="0.3">
      <c r="A6" s="11">
        <v>2.5</v>
      </c>
      <c r="B6" s="11">
        <v>-5</v>
      </c>
      <c r="C6" s="12">
        <v>1.2</v>
      </c>
      <c r="D6" s="12">
        <v>-4.3032000000000004</v>
      </c>
      <c r="E6" s="11">
        <f t="shared" si="4"/>
        <v>6.2</v>
      </c>
      <c r="F6" s="11">
        <f t="shared" si="0"/>
        <v>0.69679999999999964</v>
      </c>
      <c r="G6" s="11">
        <v>100</v>
      </c>
      <c r="H6" s="15">
        <v>100000</v>
      </c>
      <c r="I6" s="15">
        <f t="shared" si="1"/>
        <v>1.3000000000000001E-2</v>
      </c>
      <c r="J6" s="15">
        <f t="shared" si="2"/>
        <v>4.3032000000000004E-5</v>
      </c>
      <c r="K6" s="16">
        <f t="shared" si="3"/>
        <v>302.10076222346163</v>
      </c>
      <c r="L6" s="19"/>
      <c r="M6" s="18">
        <f>L2/I6</f>
        <v>2076.9230769230767</v>
      </c>
      <c r="N6" s="15">
        <f t="shared" si="5"/>
        <v>0.52</v>
      </c>
      <c r="O6" s="16">
        <f t="shared" si="6"/>
        <v>580.96300427588767</v>
      </c>
    </row>
    <row r="7" spans="1:15" x14ac:dyDescent="0.3">
      <c r="A7" s="11">
        <v>3</v>
      </c>
      <c r="B7" s="11">
        <v>-5</v>
      </c>
      <c r="C7" s="12">
        <v>1.67919999999999</v>
      </c>
      <c r="D7" s="12">
        <v>-4.3064</v>
      </c>
      <c r="E7" s="11">
        <f t="shared" si="4"/>
        <v>6.67919999999999</v>
      </c>
      <c r="F7" s="11">
        <f t="shared" si="0"/>
        <v>0.69359999999999999</v>
      </c>
      <c r="G7" s="11">
        <v>100</v>
      </c>
      <c r="H7" s="15">
        <v>100000</v>
      </c>
      <c r="I7" s="15">
        <f t="shared" si="1"/>
        <v>1.32080000000001E-2</v>
      </c>
      <c r="J7" s="15">
        <f t="shared" si="2"/>
        <v>4.3064E-5</v>
      </c>
      <c r="K7" s="16">
        <f t="shared" si="3"/>
        <v>306.70629760356911</v>
      </c>
      <c r="L7" s="19"/>
      <c r="M7" s="18">
        <f>L2/I7</f>
        <v>2044.2156268927768</v>
      </c>
      <c r="N7" s="15">
        <f t="shared" si="5"/>
        <v>0.52832000000000401</v>
      </c>
      <c r="O7" s="16">
        <f t="shared" si="6"/>
        <v>580.53130224781728</v>
      </c>
    </row>
    <row r="8" spans="1:15" x14ac:dyDescent="0.3">
      <c r="A8" s="11">
        <v>3.5</v>
      </c>
      <c r="B8" s="11">
        <v>-5</v>
      </c>
      <c r="C8" s="12">
        <v>2.1616</v>
      </c>
      <c r="D8" s="12">
        <v>-4.3079999999999998</v>
      </c>
      <c r="E8" s="11">
        <f t="shared" si="4"/>
        <v>7.1616</v>
      </c>
      <c r="F8" s="11">
        <f t="shared" si="0"/>
        <v>0.69200000000000017</v>
      </c>
      <c r="G8" s="11">
        <v>100</v>
      </c>
      <c r="H8" s="15">
        <v>100000</v>
      </c>
      <c r="I8" s="15">
        <f t="shared" si="1"/>
        <v>1.3384E-2</v>
      </c>
      <c r="J8" s="15">
        <f t="shared" si="2"/>
        <v>4.3080000000000001E-5</v>
      </c>
      <c r="K8" s="16">
        <f t="shared" si="3"/>
        <v>310.67780872794799</v>
      </c>
      <c r="L8" s="19"/>
      <c r="M8" s="18">
        <f>L2/I8</f>
        <v>2017.3341303048417</v>
      </c>
      <c r="N8" s="15">
        <f t="shared" si="5"/>
        <v>0.53535999999999995</v>
      </c>
      <c r="O8" s="16">
        <f t="shared" si="6"/>
        <v>580.31569173630453</v>
      </c>
    </row>
    <row r="9" spans="1:15" x14ac:dyDescent="0.3">
      <c r="A9" s="11">
        <v>4</v>
      </c>
      <c r="B9" s="11">
        <v>-5</v>
      </c>
      <c r="C9" s="12">
        <v>2.63919999999999</v>
      </c>
      <c r="D9" s="12">
        <v>-4.3103999999999996</v>
      </c>
      <c r="E9" s="11">
        <f t="shared" si="4"/>
        <v>7.63919999999999</v>
      </c>
      <c r="F9" s="11">
        <f t="shared" si="0"/>
        <v>0.68960000000000043</v>
      </c>
      <c r="G9" s="11">
        <v>100</v>
      </c>
      <c r="H9" s="15">
        <v>100000</v>
      </c>
      <c r="I9" s="15">
        <f t="shared" si="1"/>
        <v>1.3608000000000099E-2</v>
      </c>
      <c r="J9" s="15">
        <f t="shared" si="2"/>
        <v>4.3103999999999993E-5</v>
      </c>
      <c r="K9" s="16">
        <f t="shared" si="3"/>
        <v>315.70155902004689</v>
      </c>
      <c r="L9" s="19"/>
      <c r="M9" s="18">
        <f>L2/I9</f>
        <v>1984.1269841269698</v>
      </c>
      <c r="N9" s="15">
        <f t="shared" si="5"/>
        <v>0.54432000000000391</v>
      </c>
      <c r="O9" s="16">
        <f t="shared" si="6"/>
        <v>579.99257609502615</v>
      </c>
    </row>
    <row r="10" spans="1:15" x14ac:dyDescent="0.3">
      <c r="A10" s="11">
        <v>4.5</v>
      </c>
      <c r="B10" s="11">
        <v>-5</v>
      </c>
      <c r="C10" s="12">
        <v>3.1155999999999899</v>
      </c>
      <c r="D10" s="12">
        <v>-4.3140000000000001</v>
      </c>
      <c r="E10" s="11">
        <f t="shared" si="4"/>
        <v>8.1155999999999899</v>
      </c>
      <c r="F10" s="11">
        <f t="shared" si="0"/>
        <v>0.68599999999999994</v>
      </c>
      <c r="G10" s="11">
        <v>100</v>
      </c>
      <c r="H10" s="15">
        <v>100000</v>
      </c>
      <c r="I10" s="15">
        <f t="shared" si="1"/>
        <v>1.3844000000000101E-2</v>
      </c>
      <c r="J10" s="15">
        <f t="shared" si="2"/>
        <v>4.3140000000000004E-5</v>
      </c>
      <c r="K10" s="16">
        <f t="shared" si="3"/>
        <v>320.90866944831015</v>
      </c>
      <c r="L10" s="19"/>
      <c r="M10" s="18">
        <f>L2/I10</f>
        <v>1950.3033805258453</v>
      </c>
      <c r="N10" s="15">
        <f t="shared" si="5"/>
        <v>0.55376000000000403</v>
      </c>
      <c r="O10" s="16">
        <f t="shared" si="6"/>
        <v>579.50857672693553</v>
      </c>
    </row>
    <row r="11" spans="1:15" x14ac:dyDescent="0.3">
      <c r="A11" s="11">
        <v>5</v>
      </c>
      <c r="B11" s="11">
        <v>-5</v>
      </c>
      <c r="C11" s="12">
        <v>3.59</v>
      </c>
      <c r="D11" s="12">
        <v>-4.3175999999999997</v>
      </c>
      <c r="E11" s="11">
        <f t="shared" si="4"/>
        <v>8.59</v>
      </c>
      <c r="F11" s="11">
        <f t="shared" si="0"/>
        <v>0.68240000000000034</v>
      </c>
      <c r="G11" s="11">
        <v>100</v>
      </c>
      <c r="H11" s="15">
        <v>100000</v>
      </c>
      <c r="I11" s="15">
        <f t="shared" si="1"/>
        <v>1.4100000000000001E-2</v>
      </c>
      <c r="J11" s="15">
        <f t="shared" si="2"/>
        <v>4.3175999999999995E-5</v>
      </c>
      <c r="K11" s="16">
        <f t="shared" si="3"/>
        <v>326.57031684269043</v>
      </c>
      <c r="L11" s="19"/>
      <c r="M11" s="18">
        <f>L2/I11</f>
        <v>1914.8936170212764</v>
      </c>
      <c r="N11" s="15">
        <f t="shared" si="5"/>
        <v>0.56400000000000006</v>
      </c>
      <c r="O11" s="16">
        <f t="shared" si="6"/>
        <v>579.02538447285542</v>
      </c>
    </row>
    <row r="12" spans="1:15" x14ac:dyDescent="0.3">
      <c r="A12" s="20">
        <v>0.5</v>
      </c>
      <c r="B12" s="20">
        <v>-4.5</v>
      </c>
      <c r="C12" s="21">
        <v>-0.67800000000000005</v>
      </c>
      <c r="D12" s="21">
        <v>-3.8128000000000002</v>
      </c>
      <c r="E12" s="20"/>
      <c r="F12" s="20">
        <f t="shared" si="0"/>
        <v>0.68719999999999981</v>
      </c>
      <c r="G12" s="20">
        <v>100</v>
      </c>
      <c r="H12" s="24">
        <v>100000</v>
      </c>
      <c r="I12" s="24">
        <f t="shared" si="1"/>
        <v>1.1779999999999999E-2</v>
      </c>
      <c r="J12" s="24">
        <f t="shared" si="2"/>
        <v>3.8128000000000005E-5</v>
      </c>
      <c r="K12" s="25">
        <f t="shared" si="3"/>
        <v>308.9592950062945</v>
      </c>
      <c r="L12" s="26">
        <v>52</v>
      </c>
      <c r="M12" s="27">
        <f>L12/I12</f>
        <v>4414.2614601018677</v>
      </c>
      <c r="N12" s="24">
        <f t="shared" si="5"/>
        <v>0.47119999999999995</v>
      </c>
      <c r="O12" s="25">
        <f t="shared" si="6"/>
        <v>655.6861099454469</v>
      </c>
    </row>
    <row r="13" spans="1:15" x14ac:dyDescent="0.3">
      <c r="A13" s="20">
        <v>1</v>
      </c>
      <c r="B13" s="20">
        <v>-4.5</v>
      </c>
      <c r="C13" s="21">
        <v>-0.16400000000000001</v>
      </c>
      <c r="D13" s="21">
        <v>-3.8108</v>
      </c>
      <c r="E13" s="20"/>
      <c r="F13" s="20">
        <f t="shared" si="0"/>
        <v>0.68920000000000003</v>
      </c>
      <c r="G13" s="20">
        <v>100</v>
      </c>
      <c r="H13" s="24">
        <v>100000</v>
      </c>
      <c r="I13" s="24">
        <f t="shared" si="1"/>
        <v>1.1639999999999999E-2</v>
      </c>
      <c r="J13" s="24">
        <f t="shared" si="2"/>
        <v>3.8108000000000002E-5</v>
      </c>
      <c r="K13" s="25">
        <f t="shared" si="3"/>
        <v>305.44767502886532</v>
      </c>
      <c r="L13" s="28"/>
      <c r="M13" s="27">
        <f>L12/I13</f>
        <v>4467.3539518900343</v>
      </c>
      <c r="N13" s="24">
        <f t="shared" si="5"/>
        <v>0.46559999999999996</v>
      </c>
      <c r="O13" s="25">
        <f t="shared" si="6"/>
        <v>656.03022987299255</v>
      </c>
    </row>
    <row r="14" spans="1:15" x14ac:dyDescent="0.3">
      <c r="A14" s="20">
        <v>1.5</v>
      </c>
      <c r="B14" s="20">
        <v>-4.5</v>
      </c>
      <c r="C14" s="21">
        <v>0.34160000000000001</v>
      </c>
      <c r="D14" s="21">
        <v>-3.8079999999999998</v>
      </c>
      <c r="E14" s="20">
        <f t="shared" si="4"/>
        <v>4.8415999999999997</v>
      </c>
      <c r="F14" s="20">
        <f t="shared" si="0"/>
        <v>0.69200000000000017</v>
      </c>
      <c r="G14" s="20">
        <v>100</v>
      </c>
      <c r="H14" s="24">
        <v>100000</v>
      </c>
      <c r="I14" s="24">
        <f t="shared" si="1"/>
        <v>1.1583999999999999E-2</v>
      </c>
      <c r="J14" s="24">
        <f t="shared" si="2"/>
        <v>3.8080000000000001E-5</v>
      </c>
      <c r="K14" s="25">
        <f t="shared" si="3"/>
        <v>304.20168067226888</v>
      </c>
      <c r="L14" s="28"/>
      <c r="M14" s="27">
        <f>L12/I14</f>
        <v>4488.9502762430948</v>
      </c>
      <c r="N14" s="24">
        <f t="shared" si="5"/>
        <v>0.46335999999999994</v>
      </c>
      <c r="O14" s="25">
        <f t="shared" si="6"/>
        <v>656.51260504201684</v>
      </c>
    </row>
    <row r="15" spans="1:15" x14ac:dyDescent="0.3">
      <c r="A15" s="20">
        <v>2</v>
      </c>
      <c r="B15" s="20">
        <v>-4.5</v>
      </c>
      <c r="C15" s="21">
        <v>0.83879999999999999</v>
      </c>
      <c r="D15" s="21">
        <v>-3.8079999999999998</v>
      </c>
      <c r="E15" s="20">
        <f t="shared" si="4"/>
        <v>5.3388</v>
      </c>
      <c r="F15" s="20">
        <f t="shared" si="0"/>
        <v>0.69200000000000017</v>
      </c>
      <c r="G15" s="20">
        <v>100</v>
      </c>
      <c r="H15" s="24">
        <v>100000</v>
      </c>
      <c r="I15" s="24">
        <f t="shared" si="1"/>
        <v>1.1612000000000001E-2</v>
      </c>
      <c r="J15" s="24">
        <f t="shared" si="2"/>
        <v>3.8080000000000001E-5</v>
      </c>
      <c r="K15" s="25">
        <f t="shared" si="3"/>
        <v>304.93697478991595</v>
      </c>
      <c r="L15" s="28"/>
      <c r="M15" s="27">
        <f>L12/I15</f>
        <v>4478.1260764726139</v>
      </c>
      <c r="N15" s="24">
        <f t="shared" si="5"/>
        <v>0.46448</v>
      </c>
      <c r="O15" s="25">
        <f t="shared" si="6"/>
        <v>656.51260504201684</v>
      </c>
    </row>
    <row r="16" spans="1:15" x14ac:dyDescent="0.3">
      <c r="A16" s="20">
        <v>2.5</v>
      </c>
      <c r="B16" s="20">
        <v>-4.5</v>
      </c>
      <c r="C16" s="21">
        <v>1.3380000000000001</v>
      </c>
      <c r="D16" s="21">
        <v>-3.8079999999999998</v>
      </c>
      <c r="E16" s="20">
        <f t="shared" si="4"/>
        <v>5.8380000000000001</v>
      </c>
      <c r="F16" s="20">
        <f t="shared" si="0"/>
        <v>0.69200000000000017</v>
      </c>
      <c r="G16" s="20">
        <v>100</v>
      </c>
      <c r="H16" s="24">
        <v>100000</v>
      </c>
      <c r="I16" s="24">
        <f t="shared" si="1"/>
        <v>1.1619999999999998E-2</v>
      </c>
      <c r="J16" s="24">
        <f t="shared" si="2"/>
        <v>3.8080000000000001E-5</v>
      </c>
      <c r="K16" s="25">
        <f t="shared" si="3"/>
        <v>305.14705882352933</v>
      </c>
      <c r="L16" s="28"/>
      <c r="M16" s="27">
        <f>L12/I16</f>
        <v>4475.0430292598976</v>
      </c>
      <c r="N16" s="24">
        <f t="shared" si="5"/>
        <v>0.46479999999999994</v>
      </c>
      <c r="O16" s="25">
        <f t="shared" si="6"/>
        <v>656.51260504201684</v>
      </c>
    </row>
    <row r="17" spans="1:15" x14ac:dyDescent="0.3">
      <c r="A17" s="20">
        <v>3</v>
      </c>
      <c r="B17" s="20">
        <v>-4.5</v>
      </c>
      <c r="C17" s="21">
        <v>1.8311999999999999</v>
      </c>
      <c r="D17" s="21">
        <v>-3.8096000000000001</v>
      </c>
      <c r="E17" s="20">
        <f t="shared" si="4"/>
        <v>6.3311999999999999</v>
      </c>
      <c r="F17" s="20">
        <f t="shared" si="0"/>
        <v>0.6903999999999999</v>
      </c>
      <c r="G17" s="20">
        <v>100</v>
      </c>
      <c r="H17" s="24">
        <v>100000</v>
      </c>
      <c r="I17" s="24">
        <f t="shared" si="1"/>
        <v>1.1688E-2</v>
      </c>
      <c r="J17" s="24">
        <f t="shared" si="2"/>
        <v>3.8096000000000003E-5</v>
      </c>
      <c r="K17" s="25">
        <f t="shared" si="3"/>
        <v>306.80386392272152</v>
      </c>
      <c r="L17" s="28"/>
      <c r="M17" s="27">
        <f>L12/I17</f>
        <v>4449.0075290896648</v>
      </c>
      <c r="N17" s="24">
        <f t="shared" si="5"/>
        <v>0.46751999999999999</v>
      </c>
      <c r="O17" s="25">
        <f t="shared" si="6"/>
        <v>656.23687526249478</v>
      </c>
    </row>
    <row r="18" spans="1:15" x14ac:dyDescent="0.3">
      <c r="A18" s="20">
        <v>3.5</v>
      </c>
      <c r="B18" s="20">
        <v>-4.5</v>
      </c>
      <c r="C18" s="21">
        <v>2.3191999999999902</v>
      </c>
      <c r="D18" s="21">
        <v>-3.8104</v>
      </c>
      <c r="E18" s="20">
        <f t="shared" si="4"/>
        <v>6.8191999999999897</v>
      </c>
      <c r="F18" s="20">
        <f t="shared" si="0"/>
        <v>0.68959999999999999</v>
      </c>
      <c r="G18" s="20">
        <v>100</v>
      </c>
      <c r="H18" s="24">
        <v>100000</v>
      </c>
      <c r="I18" s="24">
        <f t="shared" si="1"/>
        <v>1.1808000000000098E-2</v>
      </c>
      <c r="J18" s="24">
        <f t="shared" si="2"/>
        <v>3.8104E-5</v>
      </c>
      <c r="K18" s="25">
        <f t="shared" si="3"/>
        <v>309.88872559311613</v>
      </c>
      <c r="L18" s="28"/>
      <c r="M18" s="27">
        <f>L12/I18</f>
        <v>4403.7940379403426</v>
      </c>
      <c r="N18" s="24">
        <f t="shared" si="5"/>
        <v>0.4723200000000039</v>
      </c>
      <c r="O18" s="25">
        <f t="shared" si="6"/>
        <v>656.09909720764233</v>
      </c>
    </row>
    <row r="19" spans="1:15" x14ac:dyDescent="0.3">
      <c r="A19" s="20">
        <v>4</v>
      </c>
      <c r="B19" s="20">
        <v>-4.5</v>
      </c>
      <c r="C19" s="21">
        <v>2.8068</v>
      </c>
      <c r="D19" s="21">
        <v>-3.8119999999999998</v>
      </c>
      <c r="E19" s="20">
        <f t="shared" si="4"/>
        <v>7.3068</v>
      </c>
      <c r="F19" s="20">
        <f t="shared" si="0"/>
        <v>0.68800000000000017</v>
      </c>
      <c r="G19" s="20">
        <v>100</v>
      </c>
      <c r="H19" s="24">
        <v>100000</v>
      </c>
      <c r="I19" s="24">
        <f t="shared" si="1"/>
        <v>1.1932E-2</v>
      </c>
      <c r="J19" s="24">
        <f t="shared" si="2"/>
        <v>3.8120000000000001E-5</v>
      </c>
      <c r="K19" s="25">
        <f t="shared" si="3"/>
        <v>313.01154249737669</v>
      </c>
      <c r="L19" s="28"/>
      <c r="M19" s="27">
        <f>L12/I19</f>
        <v>4358.0288300368757</v>
      </c>
      <c r="N19" s="24">
        <f t="shared" si="5"/>
        <v>0.47727999999999998</v>
      </c>
      <c r="O19" s="25">
        <f t="shared" si="6"/>
        <v>655.82371458551938</v>
      </c>
    </row>
    <row r="20" spans="1:15" x14ac:dyDescent="0.3">
      <c r="A20" s="20">
        <v>4.5</v>
      </c>
      <c r="B20" s="20">
        <v>-4.5</v>
      </c>
      <c r="C20" s="21">
        <v>3.2919999999999998</v>
      </c>
      <c r="D20" s="21">
        <v>-3.8148</v>
      </c>
      <c r="E20" s="20">
        <f t="shared" si="4"/>
        <v>7.7919999999999998</v>
      </c>
      <c r="F20" s="20">
        <f t="shared" si="0"/>
        <v>0.68520000000000003</v>
      </c>
      <c r="G20" s="20">
        <v>100</v>
      </c>
      <c r="H20" s="24">
        <v>100000</v>
      </c>
      <c r="I20" s="24">
        <f t="shared" si="1"/>
        <v>1.2080000000000002E-2</v>
      </c>
      <c r="J20" s="24">
        <f t="shared" si="2"/>
        <v>3.8148000000000001E-5</v>
      </c>
      <c r="K20" s="25">
        <f t="shared" si="3"/>
        <v>316.66142392785997</v>
      </c>
      <c r="L20" s="28"/>
      <c r="M20" s="27">
        <f>L12/I20</f>
        <v>4304.635761589403</v>
      </c>
      <c r="N20" s="24">
        <f t="shared" si="5"/>
        <v>0.48320000000000007</v>
      </c>
      <c r="O20" s="25">
        <f t="shared" si="6"/>
        <v>655.34235084408101</v>
      </c>
    </row>
    <row r="21" spans="1:15" x14ac:dyDescent="0.3">
      <c r="A21" s="20">
        <v>5</v>
      </c>
      <c r="B21" s="20">
        <v>-4.5</v>
      </c>
      <c r="C21" s="21">
        <v>3.7747999999999999</v>
      </c>
      <c r="D21" s="21">
        <v>-3.8176000000000001</v>
      </c>
      <c r="E21" s="20">
        <f t="shared" si="4"/>
        <v>8.274799999999999</v>
      </c>
      <c r="F21" s="20">
        <f t="shared" si="0"/>
        <v>0.6823999999999999</v>
      </c>
      <c r="G21" s="20">
        <v>100</v>
      </c>
      <c r="H21" s="24">
        <v>100000</v>
      </c>
      <c r="I21" s="24">
        <f t="shared" si="1"/>
        <v>1.2252000000000001E-2</v>
      </c>
      <c r="J21" s="24">
        <f t="shared" si="2"/>
        <v>3.8176000000000002E-5</v>
      </c>
      <c r="K21" s="25">
        <f t="shared" si="3"/>
        <v>320.9346186085499</v>
      </c>
      <c r="L21" s="28"/>
      <c r="M21" s="27">
        <f>L12/I21</f>
        <v>4244.2050277505714</v>
      </c>
      <c r="N21" s="24">
        <f t="shared" si="5"/>
        <v>0.49008000000000002</v>
      </c>
      <c r="O21" s="25">
        <f t="shared" si="6"/>
        <v>654.86169321039392</v>
      </c>
    </row>
    <row r="22" spans="1:15" x14ac:dyDescent="0.3">
      <c r="A22" s="29">
        <v>0.5</v>
      </c>
      <c r="B22" s="29">
        <v>-4</v>
      </c>
      <c r="C22" s="30">
        <v>-0.50919999999999999</v>
      </c>
      <c r="D22" s="30">
        <v>-3.3128000000000002</v>
      </c>
      <c r="E22" s="29"/>
      <c r="F22" s="29">
        <f t="shared" si="0"/>
        <v>0.68719999999999981</v>
      </c>
      <c r="G22" s="29">
        <v>100</v>
      </c>
      <c r="H22" s="33">
        <v>100000</v>
      </c>
      <c r="I22" s="33">
        <f t="shared" si="1"/>
        <v>1.0091999999999999E-2</v>
      </c>
      <c r="J22" s="33">
        <f t="shared" si="2"/>
        <v>3.3127999999999999E-5</v>
      </c>
      <c r="K22" s="34">
        <f t="shared" si="3"/>
        <v>304.63656121709727</v>
      </c>
      <c r="L22" s="35">
        <v>91</v>
      </c>
      <c r="M22" s="36">
        <f>L22/I22</f>
        <v>9017.0432025366645</v>
      </c>
      <c r="N22" s="33">
        <f t="shared" si="5"/>
        <v>0.40367999999999993</v>
      </c>
      <c r="O22" s="34">
        <f t="shared" si="6"/>
        <v>754.64863559526691</v>
      </c>
    </row>
    <row r="23" spans="1:15" x14ac:dyDescent="0.3">
      <c r="A23" s="29">
        <v>1</v>
      </c>
      <c r="B23" s="29">
        <v>-4</v>
      </c>
      <c r="C23" s="30">
        <v>1.1999999999999999E-3</v>
      </c>
      <c r="D23" s="30">
        <v>-3.3096000000000001</v>
      </c>
      <c r="E23" s="29"/>
      <c r="F23" s="29">
        <f t="shared" si="0"/>
        <v>0.6903999999999999</v>
      </c>
      <c r="G23" s="29">
        <v>100</v>
      </c>
      <c r="H23" s="33">
        <v>100000</v>
      </c>
      <c r="I23" s="33">
        <f t="shared" si="1"/>
        <v>9.9880000000000004E-3</v>
      </c>
      <c r="J23" s="33">
        <f t="shared" si="2"/>
        <v>3.3096000000000003E-5</v>
      </c>
      <c r="K23" s="34">
        <f t="shared" si="3"/>
        <v>301.78873579888807</v>
      </c>
      <c r="L23" s="37"/>
      <c r="M23" s="36">
        <f>L22/I23</f>
        <v>9110.9331197436913</v>
      </c>
      <c r="N23" s="33">
        <f t="shared" si="5"/>
        <v>0.39951999999999999</v>
      </c>
      <c r="O23" s="34">
        <f t="shared" si="6"/>
        <v>755.37829344935938</v>
      </c>
    </row>
    <row r="24" spans="1:15" x14ac:dyDescent="0.3">
      <c r="A24" s="29">
        <v>1.5</v>
      </c>
      <c r="B24" s="29">
        <v>-4</v>
      </c>
      <c r="C24" s="30">
        <v>0.50759999999999905</v>
      </c>
      <c r="D24" s="30">
        <v>-3.3075999999999999</v>
      </c>
      <c r="E24" s="29"/>
      <c r="F24" s="29">
        <f t="shared" si="0"/>
        <v>0.69240000000000013</v>
      </c>
      <c r="G24" s="29">
        <v>100</v>
      </c>
      <c r="H24" s="33">
        <v>100000</v>
      </c>
      <c r="I24" s="33">
        <f t="shared" si="1"/>
        <v>9.9240000000000092E-3</v>
      </c>
      <c r="J24" s="33">
        <f t="shared" si="2"/>
        <v>3.3076E-5</v>
      </c>
      <c r="K24" s="34">
        <f t="shared" si="3"/>
        <v>300.03628008223512</v>
      </c>
      <c r="L24" s="37"/>
      <c r="M24" s="36">
        <f>L22/I24</f>
        <v>9169.6896412736714</v>
      </c>
      <c r="N24" s="33">
        <f t="shared" si="5"/>
        <v>0.39696000000000037</v>
      </c>
      <c r="O24" s="34">
        <f t="shared" si="6"/>
        <v>755.83504655943887</v>
      </c>
    </row>
    <row r="25" spans="1:15" x14ac:dyDescent="0.3">
      <c r="A25" s="29">
        <v>2</v>
      </c>
      <c r="B25" s="29">
        <v>-4</v>
      </c>
      <c r="C25" s="30">
        <v>1.00999999999999</v>
      </c>
      <c r="D25" s="30">
        <v>-3.306</v>
      </c>
      <c r="E25" s="29">
        <f t="shared" si="4"/>
        <v>5.00999999999999</v>
      </c>
      <c r="F25" s="29">
        <f t="shared" si="0"/>
        <v>0.69399999999999995</v>
      </c>
      <c r="G25" s="29">
        <v>100</v>
      </c>
      <c r="H25" s="33">
        <v>100000</v>
      </c>
      <c r="I25" s="33">
        <f t="shared" si="1"/>
        <v>9.9000000000000997E-3</v>
      </c>
      <c r="J25" s="33">
        <f t="shared" si="2"/>
        <v>3.3059999999999999E-5</v>
      </c>
      <c r="K25" s="34">
        <f t="shared" si="3"/>
        <v>299.45553539020267</v>
      </c>
      <c r="L25" s="37"/>
      <c r="M25" s="36">
        <f>L22/I25</f>
        <v>9191.9191919190998</v>
      </c>
      <c r="N25" s="33">
        <f t="shared" si="5"/>
        <v>0.39600000000000396</v>
      </c>
      <c r="O25" s="34">
        <f t="shared" si="6"/>
        <v>756.20084694494869</v>
      </c>
    </row>
    <row r="26" spans="1:15" x14ac:dyDescent="0.3">
      <c r="A26" s="29">
        <v>2.5</v>
      </c>
      <c r="B26" s="29">
        <v>-4</v>
      </c>
      <c r="C26" s="30">
        <v>1.51</v>
      </c>
      <c r="D26" s="30">
        <v>-3.306</v>
      </c>
      <c r="E26" s="29">
        <f t="shared" si="4"/>
        <v>5.51</v>
      </c>
      <c r="F26" s="29">
        <f t="shared" si="0"/>
        <v>0.69399999999999995</v>
      </c>
      <c r="G26" s="29">
        <v>100</v>
      </c>
      <c r="H26" s="33">
        <v>100000</v>
      </c>
      <c r="I26" s="33">
        <f t="shared" si="1"/>
        <v>9.8999999999999991E-3</v>
      </c>
      <c r="J26" s="33">
        <f t="shared" si="2"/>
        <v>3.3059999999999999E-5</v>
      </c>
      <c r="K26" s="34">
        <f t="shared" si="3"/>
        <v>299.4555353901996</v>
      </c>
      <c r="L26" s="37"/>
      <c r="M26" s="36">
        <f>L22/I26</f>
        <v>9191.9191919191926</v>
      </c>
      <c r="N26" s="33">
        <f t="shared" si="5"/>
        <v>0.39599999999999996</v>
      </c>
      <c r="O26" s="34">
        <f t="shared" si="6"/>
        <v>756.20084694494869</v>
      </c>
    </row>
    <row r="27" spans="1:15" x14ac:dyDescent="0.3">
      <c r="A27" s="29">
        <v>3</v>
      </c>
      <c r="B27" s="29">
        <v>-4</v>
      </c>
      <c r="C27" s="30">
        <v>2.0084</v>
      </c>
      <c r="D27" s="30">
        <v>-3.3064</v>
      </c>
      <c r="E27" s="29">
        <f t="shared" si="4"/>
        <v>6.0084</v>
      </c>
      <c r="F27" s="29">
        <f t="shared" si="0"/>
        <v>0.69359999999999999</v>
      </c>
      <c r="G27" s="29">
        <v>100</v>
      </c>
      <c r="H27" s="33">
        <v>100000</v>
      </c>
      <c r="I27" s="33">
        <f t="shared" si="1"/>
        <v>9.9160000000000012E-3</v>
      </c>
      <c r="J27" s="33">
        <f t="shared" si="2"/>
        <v>3.3064000000000001E-5</v>
      </c>
      <c r="K27" s="34">
        <f t="shared" si="3"/>
        <v>299.90321800145176</v>
      </c>
      <c r="L27" s="37"/>
      <c r="M27" s="36">
        <f>L22/I27</f>
        <v>9177.0875352964886</v>
      </c>
      <c r="N27" s="33">
        <f t="shared" si="5"/>
        <v>0.39664000000000005</v>
      </c>
      <c r="O27" s="34">
        <f t="shared" si="6"/>
        <v>756.1093636583596</v>
      </c>
    </row>
    <row r="28" spans="1:15" x14ac:dyDescent="0.3">
      <c r="A28" s="29">
        <v>3.5</v>
      </c>
      <c r="B28" s="29">
        <v>-4</v>
      </c>
      <c r="C28" s="30">
        <v>2.5</v>
      </c>
      <c r="D28" s="30">
        <v>-3.3075999999999999</v>
      </c>
      <c r="E28" s="29">
        <f t="shared" si="4"/>
        <v>6.5</v>
      </c>
      <c r="F28" s="29">
        <f t="shared" si="0"/>
        <v>0.69240000000000013</v>
      </c>
      <c r="G28" s="29">
        <v>100</v>
      </c>
      <c r="H28" s="33">
        <v>100000</v>
      </c>
      <c r="I28" s="33">
        <f t="shared" si="1"/>
        <v>0.01</v>
      </c>
      <c r="J28" s="33">
        <f t="shared" si="2"/>
        <v>3.3076E-5</v>
      </c>
      <c r="K28" s="34">
        <f t="shared" si="3"/>
        <v>302.33401862377553</v>
      </c>
      <c r="L28" s="37"/>
      <c r="M28" s="36">
        <f>L22/I28</f>
        <v>9100</v>
      </c>
      <c r="N28" s="33">
        <f t="shared" si="5"/>
        <v>0.39999999999999997</v>
      </c>
      <c r="O28" s="34">
        <f t="shared" si="6"/>
        <v>755.83504655943887</v>
      </c>
    </row>
    <row r="29" spans="1:15" x14ac:dyDescent="0.3">
      <c r="A29" s="29">
        <v>4</v>
      </c>
      <c r="B29" s="29">
        <v>-4</v>
      </c>
      <c r="C29" s="30">
        <v>2.992</v>
      </c>
      <c r="D29" s="30">
        <v>-3.3096000000000001</v>
      </c>
      <c r="E29" s="29">
        <f t="shared" si="4"/>
        <v>6.992</v>
      </c>
      <c r="F29" s="29">
        <f t="shared" si="0"/>
        <v>0.6903999999999999</v>
      </c>
      <c r="G29" s="29">
        <v>100</v>
      </c>
      <c r="H29" s="33">
        <v>100000</v>
      </c>
      <c r="I29" s="33">
        <f t="shared" si="1"/>
        <v>1.008E-2</v>
      </c>
      <c r="J29" s="33">
        <f t="shared" si="2"/>
        <v>3.3096000000000003E-5</v>
      </c>
      <c r="K29" s="34">
        <f t="shared" si="3"/>
        <v>304.56852791878168</v>
      </c>
      <c r="L29" s="37"/>
      <c r="M29" s="36">
        <f>L22/I29</f>
        <v>9027.7777777777774</v>
      </c>
      <c r="N29" s="33">
        <f t="shared" si="5"/>
        <v>0.4032</v>
      </c>
      <c r="O29" s="34">
        <f t="shared" si="6"/>
        <v>755.37829344935938</v>
      </c>
    </row>
    <row r="30" spans="1:15" x14ac:dyDescent="0.3">
      <c r="A30" s="29">
        <v>4.5</v>
      </c>
      <c r="B30" s="29">
        <v>-4</v>
      </c>
      <c r="C30" s="30">
        <v>3.4803999999999999</v>
      </c>
      <c r="D30" s="30">
        <v>-3.3111999999999999</v>
      </c>
      <c r="E30" s="29">
        <f t="shared" si="4"/>
        <v>7.4803999999999995</v>
      </c>
      <c r="F30" s="29">
        <f t="shared" si="0"/>
        <v>0.68880000000000008</v>
      </c>
      <c r="G30" s="29">
        <v>100</v>
      </c>
      <c r="H30" s="33">
        <v>100000</v>
      </c>
      <c r="I30" s="33">
        <f t="shared" si="1"/>
        <v>1.0196E-2</v>
      </c>
      <c r="J30" s="33">
        <f t="shared" si="2"/>
        <v>3.3111999999999997E-5</v>
      </c>
      <c r="K30" s="34">
        <f t="shared" si="3"/>
        <v>307.92461947330276</v>
      </c>
      <c r="L30" s="37"/>
      <c r="M30" s="36">
        <f>L22/I30</f>
        <v>8925.068654374265</v>
      </c>
      <c r="N30" s="33">
        <f t="shared" si="5"/>
        <v>0.40783999999999998</v>
      </c>
      <c r="O30" s="34">
        <f t="shared" si="6"/>
        <v>755.01328823387303</v>
      </c>
    </row>
    <row r="31" spans="1:15" x14ac:dyDescent="0.3">
      <c r="A31" s="29">
        <v>5</v>
      </c>
      <c r="B31" s="29">
        <v>-4</v>
      </c>
      <c r="C31" s="30">
        <v>3.968</v>
      </c>
      <c r="D31" s="30">
        <v>-3.3123999999999998</v>
      </c>
      <c r="E31" s="29">
        <f t="shared" si="4"/>
        <v>7.968</v>
      </c>
      <c r="F31" s="29">
        <f t="shared" si="0"/>
        <v>0.68760000000000021</v>
      </c>
      <c r="G31" s="29">
        <v>100</v>
      </c>
      <c r="H31" s="33">
        <v>100000</v>
      </c>
      <c r="I31" s="33">
        <f t="shared" si="1"/>
        <v>1.0320000000000001E-2</v>
      </c>
      <c r="J31" s="33">
        <f t="shared" si="2"/>
        <v>3.3123999999999997E-5</v>
      </c>
      <c r="K31" s="34">
        <f t="shared" si="3"/>
        <v>311.55657529283911</v>
      </c>
      <c r="L31" s="37"/>
      <c r="M31" s="36">
        <f>L22/I31</f>
        <v>8817.8294573643398</v>
      </c>
      <c r="N31" s="33">
        <f t="shared" si="5"/>
        <v>0.4128</v>
      </c>
      <c r="O31" s="34">
        <f t="shared" si="6"/>
        <v>754.73976572877689</v>
      </c>
    </row>
    <row r="32" spans="1:15" x14ac:dyDescent="0.3">
      <c r="A32" s="38">
        <v>0.5</v>
      </c>
      <c r="B32" s="38">
        <v>-3.5</v>
      </c>
      <c r="C32" s="39">
        <v>-0.32919999999999999</v>
      </c>
      <c r="D32" s="39">
        <v>-2.8104</v>
      </c>
      <c r="E32" s="38"/>
      <c r="F32" s="38">
        <f t="shared" si="0"/>
        <v>0.68959999999999999</v>
      </c>
      <c r="G32" s="38">
        <v>100</v>
      </c>
      <c r="H32" s="42">
        <v>100000</v>
      </c>
      <c r="I32" s="42">
        <f t="shared" si="1"/>
        <v>8.291999999999999E-3</v>
      </c>
      <c r="J32" s="42">
        <f t="shared" si="2"/>
        <v>2.8104000000000001E-5</v>
      </c>
      <c r="K32" s="43">
        <f t="shared" si="3"/>
        <v>295.04696840307423</v>
      </c>
      <c r="L32" s="44">
        <v>86</v>
      </c>
      <c r="M32" s="45">
        <f>L32/I32</f>
        <v>10371.44235407622</v>
      </c>
      <c r="N32" s="42">
        <f t="shared" si="5"/>
        <v>0.33167999999999992</v>
      </c>
      <c r="O32" s="43">
        <f t="shared" si="6"/>
        <v>889.55308852832343</v>
      </c>
    </row>
    <row r="33" spans="1:15" x14ac:dyDescent="0.3">
      <c r="A33" s="38">
        <v>1</v>
      </c>
      <c r="B33" s="38">
        <v>-3.5</v>
      </c>
      <c r="C33" s="39">
        <v>0.17959999999999901</v>
      </c>
      <c r="D33" s="39">
        <v>-2.8083999999999998</v>
      </c>
      <c r="E33" s="38"/>
      <c r="F33" s="38">
        <f t="shared" si="0"/>
        <v>0.69160000000000021</v>
      </c>
      <c r="G33" s="38">
        <v>100</v>
      </c>
      <c r="H33" s="42">
        <v>100000</v>
      </c>
      <c r="I33" s="42">
        <f t="shared" si="1"/>
        <v>8.2040000000000099E-3</v>
      </c>
      <c r="J33" s="42">
        <f t="shared" si="2"/>
        <v>2.8083999999999997E-5</v>
      </c>
      <c r="K33" s="43">
        <f t="shared" si="3"/>
        <v>292.1236291126624</v>
      </c>
      <c r="L33" s="46"/>
      <c r="M33" s="45">
        <f>L32/I33</f>
        <v>10482.69137006337</v>
      </c>
      <c r="N33" s="42">
        <f t="shared" si="5"/>
        <v>0.3281600000000004</v>
      </c>
      <c r="O33" s="43">
        <f t="shared" si="6"/>
        <v>890.1865831078195</v>
      </c>
    </row>
    <row r="34" spans="1:15" x14ac:dyDescent="0.3">
      <c r="A34" s="38">
        <v>1.5</v>
      </c>
      <c r="B34" s="38">
        <v>-3.5</v>
      </c>
      <c r="C34" s="39">
        <v>0.68440000000000001</v>
      </c>
      <c r="D34" s="39">
        <v>-2.806</v>
      </c>
      <c r="E34" s="38">
        <f t="shared" si="4"/>
        <v>4.1844000000000001</v>
      </c>
      <c r="F34" s="38">
        <f t="shared" si="0"/>
        <v>0.69399999999999995</v>
      </c>
      <c r="G34" s="38">
        <v>100</v>
      </c>
      <c r="H34" s="42">
        <v>100000</v>
      </c>
      <c r="I34" s="42">
        <f t="shared" si="1"/>
        <v>8.1560000000000001E-3</v>
      </c>
      <c r="J34" s="42">
        <f t="shared" si="2"/>
        <v>2.8059999999999999E-5</v>
      </c>
      <c r="K34" s="43">
        <f t="shared" si="3"/>
        <v>290.66286528866715</v>
      </c>
      <c r="L34" s="46"/>
      <c r="M34" s="45">
        <f>L32/I34</f>
        <v>10544.384502206964</v>
      </c>
      <c r="N34" s="42">
        <f t="shared" si="5"/>
        <v>0.32623999999999997</v>
      </c>
      <c r="O34" s="43">
        <f t="shared" si="6"/>
        <v>890.94796863863155</v>
      </c>
    </row>
    <row r="35" spans="1:15" x14ac:dyDescent="0.3">
      <c r="A35" s="38">
        <v>2</v>
      </c>
      <c r="B35" s="38">
        <v>-3.5</v>
      </c>
      <c r="C35" s="39">
        <v>1.1832</v>
      </c>
      <c r="D35" s="39">
        <v>-2.806</v>
      </c>
      <c r="E35" s="38">
        <f t="shared" si="4"/>
        <v>4.6832000000000003</v>
      </c>
      <c r="F35" s="38">
        <f t="shared" si="0"/>
        <v>0.69399999999999995</v>
      </c>
      <c r="G35" s="38">
        <v>100</v>
      </c>
      <c r="H35" s="42">
        <v>100000</v>
      </c>
      <c r="I35" s="42">
        <f t="shared" si="1"/>
        <v>8.1679999999999999E-3</v>
      </c>
      <c r="J35" s="42">
        <f t="shared" si="2"/>
        <v>2.8059999999999999E-5</v>
      </c>
      <c r="K35" s="43">
        <f t="shared" si="3"/>
        <v>291.09052031361369</v>
      </c>
      <c r="L35" s="46"/>
      <c r="M35" s="45">
        <f>L32/I35</f>
        <v>10528.893241919686</v>
      </c>
      <c r="N35" s="42">
        <f t="shared" si="5"/>
        <v>0.32671999999999995</v>
      </c>
      <c r="O35" s="43">
        <f t="shared" si="6"/>
        <v>890.94796863863155</v>
      </c>
    </row>
    <row r="36" spans="1:15" x14ac:dyDescent="0.3">
      <c r="A36" s="38">
        <v>2.5</v>
      </c>
      <c r="B36" s="38">
        <v>-3.5</v>
      </c>
      <c r="C36" s="39">
        <v>1.68</v>
      </c>
      <c r="D36" s="39">
        <v>-2.806</v>
      </c>
      <c r="E36" s="38">
        <f t="shared" si="4"/>
        <v>5.18</v>
      </c>
      <c r="F36" s="38">
        <f t="shared" si="0"/>
        <v>0.69399999999999995</v>
      </c>
      <c r="G36" s="38">
        <v>100</v>
      </c>
      <c r="H36" s="42">
        <v>100000</v>
      </c>
      <c r="I36" s="42">
        <f t="shared" si="1"/>
        <v>8.2000000000000007E-3</v>
      </c>
      <c r="J36" s="42">
        <f t="shared" si="2"/>
        <v>2.8059999999999999E-5</v>
      </c>
      <c r="K36" s="43">
        <f t="shared" si="3"/>
        <v>292.23093371347119</v>
      </c>
      <c r="L36" s="46"/>
      <c r="M36" s="45">
        <f>L32/I36</f>
        <v>10487.804878048779</v>
      </c>
      <c r="N36" s="42">
        <f t="shared" si="5"/>
        <v>0.32800000000000001</v>
      </c>
      <c r="O36" s="43">
        <f t="shared" si="6"/>
        <v>890.94796863863155</v>
      </c>
    </row>
    <row r="37" spans="1:15" x14ac:dyDescent="0.3">
      <c r="A37" s="38">
        <v>3</v>
      </c>
      <c r="B37" s="38">
        <v>-3.5</v>
      </c>
      <c r="C37" s="39">
        <v>2.1800000000000002</v>
      </c>
      <c r="D37" s="39">
        <v>-2.8052000000000001</v>
      </c>
      <c r="E37" s="38">
        <f t="shared" si="4"/>
        <v>5.68</v>
      </c>
      <c r="F37" s="38">
        <f t="shared" si="0"/>
        <v>0.69479999999999986</v>
      </c>
      <c r="G37" s="38">
        <v>100</v>
      </c>
      <c r="H37" s="42">
        <v>100000</v>
      </c>
      <c r="I37" s="42">
        <f t="shared" si="1"/>
        <v>8.199999999999999E-3</v>
      </c>
      <c r="J37" s="42">
        <f t="shared" si="2"/>
        <v>2.8052000000000002E-5</v>
      </c>
      <c r="K37" s="43">
        <f t="shared" si="3"/>
        <v>292.31427349208604</v>
      </c>
      <c r="L37" s="46"/>
      <c r="M37" s="45">
        <f>L32/I37</f>
        <v>10487.804878048782</v>
      </c>
      <c r="N37" s="42">
        <f t="shared" si="5"/>
        <v>0.32799999999999996</v>
      </c>
      <c r="O37" s="43">
        <f t="shared" si="6"/>
        <v>891.20205332953083</v>
      </c>
    </row>
    <row r="38" spans="1:15" x14ac:dyDescent="0.3">
      <c r="A38" s="38">
        <v>3.5</v>
      </c>
      <c r="B38" s="38">
        <v>-3.5</v>
      </c>
      <c r="C38" s="39">
        <v>2.6751999999999998</v>
      </c>
      <c r="D38" s="39">
        <v>-2.806</v>
      </c>
      <c r="E38" s="38">
        <f t="shared" si="4"/>
        <v>6.1752000000000002</v>
      </c>
      <c r="F38" s="38">
        <f t="shared" si="0"/>
        <v>0.69399999999999995</v>
      </c>
      <c r="G38" s="38">
        <v>100</v>
      </c>
      <c r="H38" s="42">
        <v>100000</v>
      </c>
      <c r="I38" s="42">
        <f t="shared" si="1"/>
        <v>8.2480000000000019E-3</v>
      </c>
      <c r="J38" s="42">
        <f t="shared" si="2"/>
        <v>2.8059999999999999E-5</v>
      </c>
      <c r="K38" s="43">
        <f t="shared" si="3"/>
        <v>293.94155381325737</v>
      </c>
      <c r="L38" s="46"/>
      <c r="M38" s="45">
        <f>L32/I38</f>
        <v>10426.770126091171</v>
      </c>
      <c r="N38" s="42">
        <f t="shared" si="5"/>
        <v>0.32992000000000005</v>
      </c>
      <c r="O38" s="43">
        <f t="shared" si="6"/>
        <v>890.94796863863155</v>
      </c>
    </row>
    <row r="39" spans="1:15" x14ac:dyDescent="0.3">
      <c r="A39" s="38">
        <v>4</v>
      </c>
      <c r="B39" s="38">
        <v>-3.5</v>
      </c>
      <c r="C39" s="39">
        <v>3.1667999999999998</v>
      </c>
      <c r="D39" s="39">
        <v>-2.8064</v>
      </c>
      <c r="E39" s="38">
        <f t="shared" si="4"/>
        <v>6.6668000000000003</v>
      </c>
      <c r="F39" s="38">
        <f t="shared" si="0"/>
        <v>0.69359999999999999</v>
      </c>
      <c r="G39" s="38">
        <v>100</v>
      </c>
      <c r="H39" s="42">
        <v>100000</v>
      </c>
      <c r="I39" s="42">
        <f t="shared" si="1"/>
        <v>8.3320000000000009E-3</v>
      </c>
      <c r="J39" s="42">
        <f t="shared" si="2"/>
        <v>2.8064000000000001E-5</v>
      </c>
      <c r="K39" s="43">
        <f t="shared" si="3"/>
        <v>296.89281641961236</v>
      </c>
      <c r="L39" s="46"/>
      <c r="M39" s="45">
        <f>L32/I39</f>
        <v>10321.651464234277</v>
      </c>
      <c r="N39" s="42">
        <f t="shared" si="5"/>
        <v>0.33328000000000002</v>
      </c>
      <c r="O39" s="43">
        <f t="shared" si="6"/>
        <v>890.82098061573549</v>
      </c>
    </row>
    <row r="40" spans="1:15" x14ac:dyDescent="0.3">
      <c r="A40" s="38">
        <v>4.5</v>
      </c>
      <c r="B40" s="38">
        <v>-3.5</v>
      </c>
      <c r="C40" s="39">
        <v>3.6612</v>
      </c>
      <c r="D40" s="39">
        <v>-2.8079999999999998</v>
      </c>
      <c r="E40" s="38">
        <f t="shared" si="4"/>
        <v>7.1612</v>
      </c>
      <c r="F40" s="38">
        <f t="shared" si="0"/>
        <v>0.69200000000000017</v>
      </c>
      <c r="G40" s="38">
        <v>100</v>
      </c>
      <c r="H40" s="42">
        <v>100000</v>
      </c>
      <c r="I40" s="42">
        <f t="shared" si="1"/>
        <v>8.3879999999999996E-3</v>
      </c>
      <c r="J40" s="42">
        <f t="shared" si="2"/>
        <v>2.8079999999999999E-5</v>
      </c>
      <c r="K40" s="43">
        <f t="shared" si="3"/>
        <v>298.71794871794873</v>
      </c>
      <c r="L40" s="46"/>
      <c r="M40" s="45">
        <f>L32/I40</f>
        <v>10252.742012398665</v>
      </c>
      <c r="N40" s="42">
        <f t="shared" si="5"/>
        <v>0.33551999999999998</v>
      </c>
      <c r="O40" s="43">
        <f t="shared" si="6"/>
        <v>890.31339031339041</v>
      </c>
    </row>
    <row r="41" spans="1:15" x14ac:dyDescent="0.3">
      <c r="A41" s="38">
        <v>5</v>
      </c>
      <c r="B41" s="38">
        <v>-3.5</v>
      </c>
      <c r="C41" s="39">
        <v>4.1539999999999999</v>
      </c>
      <c r="D41" s="39">
        <v>-2.8096000000000001</v>
      </c>
      <c r="E41" s="38">
        <f t="shared" si="4"/>
        <v>7.6539999999999999</v>
      </c>
      <c r="F41" s="38">
        <f t="shared" si="0"/>
        <v>0.6903999999999999</v>
      </c>
      <c r="G41" s="38">
        <v>100</v>
      </c>
      <c r="H41" s="42">
        <v>100000</v>
      </c>
      <c r="I41" s="42">
        <f t="shared" si="1"/>
        <v>8.4600000000000005E-3</v>
      </c>
      <c r="J41" s="42">
        <f t="shared" si="2"/>
        <v>2.8096E-5</v>
      </c>
      <c r="K41" s="43">
        <f t="shared" si="3"/>
        <v>301.11047835990888</v>
      </c>
      <c r="L41" s="46"/>
      <c r="M41" s="45">
        <f>L32/I41</f>
        <v>10165.48463356974</v>
      </c>
      <c r="N41" s="42">
        <f t="shared" si="5"/>
        <v>0.33839999999999998</v>
      </c>
      <c r="O41" s="43">
        <f t="shared" si="6"/>
        <v>889.80637813211854</v>
      </c>
    </row>
    <row r="42" spans="1:15" x14ac:dyDescent="0.3">
      <c r="A42" s="11">
        <v>0.5</v>
      </c>
      <c r="B42" s="11">
        <v>-3</v>
      </c>
      <c r="C42" s="12">
        <v>-0.16039999999999999</v>
      </c>
      <c r="D42" s="12">
        <v>-2.3083999999999998</v>
      </c>
      <c r="E42" s="11"/>
      <c r="F42" s="11">
        <f t="shared" si="0"/>
        <v>0.69160000000000021</v>
      </c>
      <c r="G42" s="11">
        <v>100</v>
      </c>
      <c r="H42" s="15">
        <v>100000</v>
      </c>
      <c r="I42" s="15">
        <f t="shared" si="1"/>
        <v>6.6039999999999996E-3</v>
      </c>
      <c r="J42" s="15">
        <f t="shared" si="2"/>
        <v>2.3083999999999998E-5</v>
      </c>
      <c r="K42" s="16">
        <f t="shared" si="3"/>
        <v>286.08560041587248</v>
      </c>
      <c r="L42" s="17">
        <v>126</v>
      </c>
      <c r="M42" s="18">
        <f>L42/I42</f>
        <v>19079.345850999394</v>
      </c>
      <c r="N42" s="15">
        <f t="shared" si="5"/>
        <v>0.26415999999999995</v>
      </c>
      <c r="O42" s="16">
        <f t="shared" si="6"/>
        <v>1083.0012129613588</v>
      </c>
    </row>
    <row r="43" spans="1:15" x14ac:dyDescent="0.3">
      <c r="A43" s="11">
        <v>1</v>
      </c>
      <c r="B43" s="11">
        <v>-3</v>
      </c>
      <c r="C43" s="12">
        <v>0.34639999999999999</v>
      </c>
      <c r="D43" s="12">
        <v>-2.3043999999999998</v>
      </c>
      <c r="E43" s="11">
        <f t="shared" si="4"/>
        <v>3.3464</v>
      </c>
      <c r="F43" s="11">
        <f t="shared" si="0"/>
        <v>0.69560000000000022</v>
      </c>
      <c r="G43" s="11">
        <v>100</v>
      </c>
      <c r="H43" s="15">
        <v>100000</v>
      </c>
      <c r="I43" s="15">
        <f t="shared" si="1"/>
        <v>6.5359999999999993E-3</v>
      </c>
      <c r="J43" s="15">
        <f t="shared" si="2"/>
        <v>2.3043999999999998E-5</v>
      </c>
      <c r="K43" s="16">
        <f t="shared" si="3"/>
        <v>283.63131400798471</v>
      </c>
      <c r="L43" s="47"/>
      <c r="M43" s="18">
        <f>L42/I43</f>
        <v>19277.845777233786</v>
      </c>
      <c r="N43" s="15">
        <f t="shared" si="5"/>
        <v>0.26143999999999995</v>
      </c>
      <c r="O43" s="16">
        <f t="shared" si="6"/>
        <v>1084.8810970317654</v>
      </c>
    </row>
    <row r="44" spans="1:15" x14ac:dyDescent="0.3">
      <c r="A44" s="11">
        <v>1.5</v>
      </c>
      <c r="B44" s="11">
        <v>-3</v>
      </c>
      <c r="C44" s="12">
        <v>0.8468</v>
      </c>
      <c r="D44" s="12">
        <v>-2.3039999999999998</v>
      </c>
      <c r="E44" s="11">
        <f t="shared" si="4"/>
        <v>3.8468</v>
      </c>
      <c r="F44" s="11">
        <f t="shared" si="0"/>
        <v>0.69600000000000017</v>
      </c>
      <c r="G44" s="11">
        <v>100</v>
      </c>
      <c r="H44" s="15">
        <v>100000</v>
      </c>
      <c r="I44" s="15">
        <f t="shared" si="1"/>
        <v>6.5319999999999996E-3</v>
      </c>
      <c r="J44" s="15">
        <f t="shared" si="2"/>
        <v>2.304E-5</v>
      </c>
      <c r="K44" s="16">
        <f t="shared" si="3"/>
        <v>283.50694444444446</v>
      </c>
      <c r="L44" s="47"/>
      <c r="M44" s="18">
        <f>L42/I44</f>
        <v>19289.650949173301</v>
      </c>
      <c r="N44" s="15">
        <f t="shared" si="5"/>
        <v>0.26127999999999996</v>
      </c>
      <c r="O44" s="16">
        <f t="shared" si="6"/>
        <v>1085.0694444444446</v>
      </c>
    </row>
    <row r="45" spans="1:15" x14ac:dyDescent="0.3">
      <c r="A45" s="11">
        <v>2</v>
      </c>
      <c r="B45" s="11">
        <v>-3</v>
      </c>
      <c r="C45" s="12">
        <v>1.3460000000000001</v>
      </c>
      <c r="D45" s="12">
        <v>-2.302</v>
      </c>
      <c r="E45" s="11">
        <f t="shared" si="4"/>
        <v>4.3460000000000001</v>
      </c>
      <c r="F45" s="11">
        <f t="shared" si="0"/>
        <v>0.69799999999999995</v>
      </c>
      <c r="G45" s="11">
        <v>100</v>
      </c>
      <c r="H45" s="15">
        <v>100000</v>
      </c>
      <c r="I45" s="15">
        <f t="shared" si="1"/>
        <v>6.5399999999999989E-3</v>
      </c>
      <c r="J45" s="15">
        <f t="shared" si="2"/>
        <v>2.302E-5</v>
      </c>
      <c r="K45" s="16">
        <f t="shared" si="3"/>
        <v>284.10078192875756</v>
      </c>
      <c r="L45" s="47"/>
      <c r="M45" s="18">
        <f>L42/I45</f>
        <v>19266.055045871562</v>
      </c>
      <c r="N45" s="15">
        <f t="shared" si="5"/>
        <v>0.26159999999999994</v>
      </c>
      <c r="O45" s="16">
        <f t="shared" si="6"/>
        <v>1086.0121633362294</v>
      </c>
    </row>
    <row r="46" spans="1:15" x14ac:dyDescent="0.3">
      <c r="A46" s="11">
        <v>2.5</v>
      </c>
      <c r="B46" s="11">
        <v>-3</v>
      </c>
      <c r="C46" s="12">
        <v>1.8435999999999999</v>
      </c>
      <c r="D46" s="12">
        <v>-2.3039999999999998</v>
      </c>
      <c r="E46" s="11">
        <f t="shared" si="4"/>
        <v>4.8436000000000003</v>
      </c>
      <c r="F46" s="11">
        <f t="shared" si="0"/>
        <v>0.69600000000000017</v>
      </c>
      <c r="G46" s="11">
        <v>100</v>
      </c>
      <c r="H46" s="15">
        <v>100000</v>
      </c>
      <c r="I46" s="15">
        <f t="shared" si="1"/>
        <v>6.5640000000000013E-3</v>
      </c>
      <c r="J46" s="15">
        <f t="shared" si="2"/>
        <v>2.304E-5</v>
      </c>
      <c r="K46" s="16">
        <f t="shared" si="3"/>
        <v>284.89583333333337</v>
      </c>
      <c r="L46" s="47"/>
      <c r="M46" s="18">
        <f>L42/I46</f>
        <v>19195.612431444239</v>
      </c>
      <c r="N46" s="15">
        <f t="shared" si="5"/>
        <v>0.26256000000000002</v>
      </c>
      <c r="O46" s="16">
        <f t="shared" si="6"/>
        <v>1085.0694444444446</v>
      </c>
    </row>
    <row r="47" spans="1:15" x14ac:dyDescent="0.3">
      <c r="A47" s="11">
        <v>3</v>
      </c>
      <c r="B47" s="11">
        <v>-3</v>
      </c>
      <c r="C47" s="12">
        <v>2.3416000000000001</v>
      </c>
      <c r="D47" s="12">
        <v>-2.3039999999999998</v>
      </c>
      <c r="E47" s="11">
        <f t="shared" si="4"/>
        <v>5.3415999999999997</v>
      </c>
      <c r="F47" s="11">
        <f t="shared" si="0"/>
        <v>0.69600000000000017</v>
      </c>
      <c r="G47" s="11">
        <v>100</v>
      </c>
      <c r="H47" s="15">
        <v>100000</v>
      </c>
      <c r="I47" s="15">
        <f t="shared" si="1"/>
        <v>6.5839999999999987E-3</v>
      </c>
      <c r="J47" s="15">
        <f t="shared" si="2"/>
        <v>2.304E-5</v>
      </c>
      <c r="K47" s="16">
        <f t="shared" si="3"/>
        <v>285.76388888888886</v>
      </c>
      <c r="L47" s="47"/>
      <c r="M47" s="18">
        <f>L42/I47</f>
        <v>19137.302551640343</v>
      </c>
      <c r="N47" s="15">
        <f t="shared" si="5"/>
        <v>0.26335999999999993</v>
      </c>
      <c r="O47" s="16">
        <f t="shared" si="6"/>
        <v>1085.0694444444446</v>
      </c>
    </row>
    <row r="48" spans="1:15" x14ac:dyDescent="0.3">
      <c r="A48" s="11">
        <v>3.5</v>
      </c>
      <c r="B48" s="11">
        <v>-3</v>
      </c>
      <c r="C48" s="12">
        <v>2.84</v>
      </c>
      <c r="D48" s="12">
        <v>-2.3039999999999998</v>
      </c>
      <c r="E48" s="11">
        <f t="shared" si="4"/>
        <v>5.84</v>
      </c>
      <c r="F48" s="11">
        <f t="shared" si="0"/>
        <v>0.69600000000000017</v>
      </c>
      <c r="G48" s="11">
        <v>100</v>
      </c>
      <c r="H48" s="15">
        <v>100000</v>
      </c>
      <c r="I48" s="15">
        <f t="shared" si="1"/>
        <v>6.6000000000000017E-3</v>
      </c>
      <c r="J48" s="15">
        <f t="shared" si="2"/>
        <v>2.304E-5</v>
      </c>
      <c r="K48" s="16">
        <f t="shared" si="3"/>
        <v>286.45833333333343</v>
      </c>
      <c r="L48" s="47"/>
      <c r="M48" s="18">
        <f>L42/I48</f>
        <v>19090.909090909085</v>
      </c>
      <c r="N48" s="15">
        <f t="shared" si="5"/>
        <v>0.26400000000000007</v>
      </c>
      <c r="O48" s="16">
        <f t="shared" si="6"/>
        <v>1085.0694444444446</v>
      </c>
    </row>
    <row r="49" spans="1:15" x14ac:dyDescent="0.3">
      <c r="A49" s="11">
        <v>4</v>
      </c>
      <c r="B49" s="11">
        <v>-3</v>
      </c>
      <c r="C49" s="12">
        <v>3.3344</v>
      </c>
      <c r="D49" s="12">
        <v>-2.306</v>
      </c>
      <c r="E49" s="11">
        <f t="shared" si="4"/>
        <v>6.3344000000000005</v>
      </c>
      <c r="F49" s="11">
        <f t="shared" si="0"/>
        <v>0.69399999999999995</v>
      </c>
      <c r="G49" s="11">
        <v>100</v>
      </c>
      <c r="H49" s="15">
        <v>100000</v>
      </c>
      <c r="I49" s="15">
        <f t="shared" si="1"/>
        <v>6.6559999999999996E-3</v>
      </c>
      <c r="J49" s="15">
        <f t="shared" si="2"/>
        <v>2.3059999999999999E-5</v>
      </c>
      <c r="K49" s="16">
        <f t="shared" si="3"/>
        <v>288.63833477883782</v>
      </c>
      <c r="L49" s="47"/>
      <c r="M49" s="18">
        <f>L42/I49</f>
        <v>18930.288461538461</v>
      </c>
      <c r="N49" s="15">
        <f t="shared" si="5"/>
        <v>0.26623999999999998</v>
      </c>
      <c r="O49" s="16">
        <f t="shared" si="6"/>
        <v>1084.1283607979185</v>
      </c>
    </row>
    <row r="50" spans="1:15" x14ac:dyDescent="0.3">
      <c r="A50" s="11">
        <v>4.5</v>
      </c>
      <c r="B50" s="11">
        <v>-3</v>
      </c>
      <c r="C50" s="12">
        <v>3.8296000000000001</v>
      </c>
      <c r="D50" s="12">
        <v>-2.3079999999999998</v>
      </c>
      <c r="E50" s="11">
        <f t="shared" si="4"/>
        <v>6.8296000000000001</v>
      </c>
      <c r="F50" s="11">
        <f t="shared" si="0"/>
        <v>0.69200000000000017</v>
      </c>
      <c r="G50" s="11">
        <v>100</v>
      </c>
      <c r="H50" s="15">
        <v>100000</v>
      </c>
      <c r="I50" s="15">
        <f t="shared" si="1"/>
        <v>6.703999999999999E-3</v>
      </c>
      <c r="J50" s="15">
        <f t="shared" si="2"/>
        <v>2.3079999999999999E-5</v>
      </c>
      <c r="K50" s="16">
        <f t="shared" si="3"/>
        <v>290.46793760831883</v>
      </c>
      <c r="L50" s="47"/>
      <c r="M50" s="18">
        <f>L42/I50</f>
        <v>18794.749403341291</v>
      </c>
      <c r="N50" s="15">
        <f t="shared" si="5"/>
        <v>0.26815999999999995</v>
      </c>
      <c r="O50" s="16">
        <f t="shared" si="6"/>
        <v>1083.1889081455806</v>
      </c>
    </row>
    <row r="51" spans="1:15" x14ac:dyDescent="0.3">
      <c r="A51" s="11">
        <v>5</v>
      </c>
      <c r="B51" s="11">
        <v>-3</v>
      </c>
      <c r="C51" s="12">
        <v>4.3255999999999997</v>
      </c>
      <c r="D51" s="12">
        <v>-2.3079999999999998</v>
      </c>
      <c r="E51" s="11">
        <f t="shared" si="4"/>
        <v>7.3255999999999997</v>
      </c>
      <c r="F51" s="11">
        <f t="shared" si="0"/>
        <v>0.69200000000000017</v>
      </c>
      <c r="G51" s="11">
        <v>100</v>
      </c>
      <c r="H51" s="15">
        <v>100000</v>
      </c>
      <c r="I51" s="15">
        <f t="shared" si="1"/>
        <v>6.7440000000000035E-3</v>
      </c>
      <c r="J51" s="15">
        <f t="shared" si="2"/>
        <v>2.3079999999999999E-5</v>
      </c>
      <c r="K51" s="16">
        <f t="shared" si="3"/>
        <v>292.201039861352</v>
      </c>
      <c r="L51" s="47"/>
      <c r="M51" s="18">
        <f>L42/I51</f>
        <v>18683.274021352303</v>
      </c>
      <c r="N51" s="15">
        <f t="shared" si="5"/>
        <v>0.26976000000000011</v>
      </c>
      <c r="O51" s="16">
        <f t="shared" si="6"/>
        <v>1083.1889081455806</v>
      </c>
    </row>
    <row r="52" spans="1:15" x14ac:dyDescent="0.3">
      <c r="A52" s="20">
        <v>0.5</v>
      </c>
      <c r="B52" s="20">
        <v>-2.5</v>
      </c>
      <c r="C52" s="21">
        <v>-4.0000000000000001E-3</v>
      </c>
      <c r="D52" s="21">
        <v>-1.8115999999999901</v>
      </c>
      <c r="E52" s="20"/>
      <c r="F52" s="20">
        <f t="shared" si="0"/>
        <v>0.68840000000000989</v>
      </c>
      <c r="G52" s="20">
        <v>100</v>
      </c>
      <c r="H52" s="24">
        <v>100000</v>
      </c>
      <c r="I52" s="24">
        <f t="shared" si="1"/>
        <v>5.0400000000000002E-3</v>
      </c>
      <c r="J52" s="24">
        <f t="shared" si="2"/>
        <v>1.8115999999999902E-5</v>
      </c>
      <c r="K52" s="25">
        <f t="shared" si="3"/>
        <v>278.20710973725033</v>
      </c>
      <c r="L52" s="26">
        <v>163</v>
      </c>
      <c r="M52" s="27">
        <f>L52/I52</f>
        <v>32341.269841269841</v>
      </c>
      <c r="N52" s="24">
        <f t="shared" si="5"/>
        <v>0.2016</v>
      </c>
      <c r="O52" s="25">
        <f t="shared" si="6"/>
        <v>1379.9955840141386</v>
      </c>
    </row>
    <row r="53" spans="1:15" x14ac:dyDescent="0.3">
      <c r="A53" s="20">
        <v>1</v>
      </c>
      <c r="B53" s="20">
        <v>-2.5</v>
      </c>
      <c r="C53" s="21">
        <v>0.50160000000000005</v>
      </c>
      <c r="D53" s="21">
        <v>-1.8088</v>
      </c>
      <c r="E53" s="20">
        <f t="shared" si="4"/>
        <v>3.0015999999999998</v>
      </c>
      <c r="F53" s="20">
        <f t="shared" si="0"/>
        <v>0.69120000000000004</v>
      </c>
      <c r="G53" s="20">
        <v>100</v>
      </c>
      <c r="H53" s="24">
        <v>100000</v>
      </c>
      <c r="I53" s="24">
        <f t="shared" si="1"/>
        <v>4.9839999999999997E-3</v>
      </c>
      <c r="J53" s="24">
        <f t="shared" si="2"/>
        <v>1.8088E-5</v>
      </c>
      <c r="K53" s="25">
        <f t="shared" si="3"/>
        <v>275.54179566563465</v>
      </c>
      <c r="L53" s="28"/>
      <c r="M53" s="27">
        <f>L52/I53</f>
        <v>32704.654895666132</v>
      </c>
      <c r="N53" s="24">
        <f t="shared" si="5"/>
        <v>0.19935999999999998</v>
      </c>
      <c r="O53" s="25">
        <f t="shared" si="6"/>
        <v>1382.1318000884564</v>
      </c>
    </row>
    <row r="54" spans="1:15" x14ac:dyDescent="0.3">
      <c r="A54" s="20">
        <v>1.5</v>
      </c>
      <c r="B54" s="20">
        <v>-2.5</v>
      </c>
      <c r="C54" s="21">
        <v>1.0015999999999901</v>
      </c>
      <c r="D54" s="21">
        <v>-1.8076000000000001</v>
      </c>
      <c r="E54" s="20">
        <f t="shared" si="4"/>
        <v>3.5015999999999901</v>
      </c>
      <c r="F54" s="20">
        <f t="shared" si="0"/>
        <v>0.6923999999999999</v>
      </c>
      <c r="G54" s="20">
        <v>100</v>
      </c>
      <c r="H54" s="24">
        <v>100000</v>
      </c>
      <c r="I54" s="24">
        <f t="shared" si="1"/>
        <v>4.9840000000000995E-3</v>
      </c>
      <c r="J54" s="24">
        <f t="shared" si="2"/>
        <v>1.8076000000000001E-5</v>
      </c>
      <c r="K54" s="25">
        <f t="shared" si="3"/>
        <v>275.72471785793863</v>
      </c>
      <c r="L54" s="28"/>
      <c r="M54" s="27">
        <f>L52/I54</f>
        <v>32704.654895665481</v>
      </c>
      <c r="N54" s="24">
        <f t="shared" si="5"/>
        <v>0.19936000000000398</v>
      </c>
      <c r="O54" s="25">
        <f t="shared" si="6"/>
        <v>1383.0493472007081</v>
      </c>
    </row>
    <row r="55" spans="1:15" x14ac:dyDescent="0.3">
      <c r="A55" s="20">
        <v>2</v>
      </c>
      <c r="B55" s="20">
        <v>-2.5</v>
      </c>
      <c r="C55" s="21">
        <v>1.5011999999999901</v>
      </c>
      <c r="D55" s="21">
        <v>-1.8064</v>
      </c>
      <c r="E55" s="20">
        <f t="shared" si="4"/>
        <v>4.0011999999999901</v>
      </c>
      <c r="F55" s="20">
        <f t="shared" si="0"/>
        <v>0.69359999999999999</v>
      </c>
      <c r="G55" s="20">
        <v>100</v>
      </c>
      <c r="H55" s="24">
        <v>100000</v>
      </c>
      <c r="I55" s="24">
        <f t="shared" si="1"/>
        <v>4.9880000000000991E-3</v>
      </c>
      <c r="J55" s="24">
        <f t="shared" si="2"/>
        <v>1.8063999999999998E-5</v>
      </c>
      <c r="K55" s="25">
        <f t="shared" si="3"/>
        <v>276.12931798051926</v>
      </c>
      <c r="L55" s="28"/>
      <c r="M55" s="27">
        <f>L52/I55</f>
        <v>32678.428227745942</v>
      </c>
      <c r="N55" s="24">
        <f t="shared" si="5"/>
        <v>0.19952000000000394</v>
      </c>
      <c r="O55" s="25">
        <f t="shared" si="6"/>
        <v>1383.9681133746681</v>
      </c>
    </row>
    <row r="56" spans="1:15" x14ac:dyDescent="0.3">
      <c r="A56" s="20">
        <v>2.5</v>
      </c>
      <c r="B56" s="20">
        <v>-2.5</v>
      </c>
      <c r="C56" s="21">
        <v>2</v>
      </c>
      <c r="D56" s="21">
        <v>-1.8068</v>
      </c>
      <c r="E56" s="20">
        <f t="shared" si="4"/>
        <v>4.5</v>
      </c>
      <c r="F56" s="20">
        <f t="shared" si="0"/>
        <v>0.69320000000000004</v>
      </c>
      <c r="G56" s="20">
        <v>100</v>
      </c>
      <c r="H56" s="24">
        <v>100000</v>
      </c>
      <c r="I56" s="24">
        <f t="shared" si="1"/>
        <v>5.0000000000000001E-3</v>
      </c>
      <c r="J56" s="24">
        <f t="shared" si="2"/>
        <v>1.8068E-5</v>
      </c>
      <c r="K56" s="25">
        <f t="shared" si="3"/>
        <v>276.73234447642238</v>
      </c>
      <c r="L56" s="28"/>
      <c r="M56" s="27">
        <f>L52/I56</f>
        <v>32600</v>
      </c>
      <c r="N56" s="24">
        <f t="shared" si="5"/>
        <v>0.19999999999999998</v>
      </c>
      <c r="O56" s="25">
        <f t="shared" si="6"/>
        <v>1383.661722382112</v>
      </c>
    </row>
    <row r="57" spans="1:15" x14ac:dyDescent="0.3">
      <c r="A57" s="20">
        <v>3</v>
      </c>
      <c r="B57" s="20">
        <v>-2.5</v>
      </c>
      <c r="C57" s="21">
        <v>2.4980000000000002</v>
      </c>
      <c r="D57" s="21">
        <v>-1.806</v>
      </c>
      <c r="E57" s="20">
        <f t="shared" si="4"/>
        <v>4.9980000000000002</v>
      </c>
      <c r="F57" s="20">
        <f t="shared" si="0"/>
        <v>0.69399999999999995</v>
      </c>
      <c r="G57" s="20">
        <v>100</v>
      </c>
      <c r="H57" s="24">
        <v>100000</v>
      </c>
      <c r="I57" s="24">
        <f t="shared" si="1"/>
        <v>5.0199999999999976E-3</v>
      </c>
      <c r="J57" s="24">
        <f t="shared" si="2"/>
        <v>1.806E-5</v>
      </c>
      <c r="K57" s="25">
        <f t="shared" si="3"/>
        <v>277.96234772978943</v>
      </c>
      <c r="L57" s="28"/>
      <c r="M57" s="27">
        <f>L52/I57</f>
        <v>32470.119521912366</v>
      </c>
      <c r="N57" s="24">
        <f t="shared" si="5"/>
        <v>0.2007999999999999</v>
      </c>
      <c r="O57" s="25">
        <f t="shared" si="6"/>
        <v>1384.2746400885937</v>
      </c>
    </row>
    <row r="58" spans="1:15" x14ac:dyDescent="0.3">
      <c r="A58" s="20">
        <v>3.5</v>
      </c>
      <c r="B58" s="20">
        <v>-2.5</v>
      </c>
      <c r="C58" s="21">
        <v>2.9948000000000001</v>
      </c>
      <c r="D58" s="21">
        <v>-1.8076000000000001</v>
      </c>
      <c r="E58" s="20">
        <f t="shared" si="4"/>
        <v>5.4947999999999997</v>
      </c>
      <c r="F58" s="20">
        <f t="shared" si="0"/>
        <v>0.6923999999999999</v>
      </c>
      <c r="G58" s="20">
        <v>100</v>
      </c>
      <c r="H58" s="24">
        <v>100000</v>
      </c>
      <c r="I58" s="24">
        <f t="shared" si="1"/>
        <v>5.0519999999999983E-3</v>
      </c>
      <c r="J58" s="24">
        <f t="shared" si="2"/>
        <v>1.8076000000000001E-5</v>
      </c>
      <c r="K58" s="25">
        <f t="shared" si="3"/>
        <v>279.48661208231897</v>
      </c>
      <c r="L58" s="28"/>
      <c r="M58" s="27">
        <f>L52/I58</f>
        <v>32264.449722882036</v>
      </c>
      <c r="N58" s="24">
        <f t="shared" si="5"/>
        <v>0.20207999999999993</v>
      </c>
      <c r="O58" s="25">
        <f t="shared" si="6"/>
        <v>1383.0493472007081</v>
      </c>
    </row>
    <row r="59" spans="1:15" x14ac:dyDescent="0.3">
      <c r="A59" s="20">
        <v>4</v>
      </c>
      <c r="B59" s="20">
        <v>-2.5</v>
      </c>
      <c r="C59" s="21">
        <v>3.4940000000000002</v>
      </c>
      <c r="D59" s="21">
        <v>-1.8104</v>
      </c>
      <c r="E59" s="20">
        <f t="shared" si="4"/>
        <v>5.9939999999999998</v>
      </c>
      <c r="F59" s="20">
        <f t="shared" si="0"/>
        <v>0.68959999999999999</v>
      </c>
      <c r="G59" s="20">
        <v>100</v>
      </c>
      <c r="H59" s="24">
        <v>100000</v>
      </c>
      <c r="I59" s="24">
        <f t="shared" si="1"/>
        <v>5.0599999999999977E-3</v>
      </c>
      <c r="J59" s="24">
        <f t="shared" si="2"/>
        <v>1.8104000000000001E-5</v>
      </c>
      <c r="K59" s="25">
        <f t="shared" si="3"/>
        <v>279.49624392399454</v>
      </c>
      <c r="L59" s="28"/>
      <c r="M59" s="27">
        <f>L52/I59</f>
        <v>32213.438735177879</v>
      </c>
      <c r="N59" s="24">
        <f t="shared" si="5"/>
        <v>0.20239999999999989</v>
      </c>
      <c r="O59" s="25">
        <f t="shared" si="6"/>
        <v>1380.9102960671673</v>
      </c>
    </row>
    <row r="60" spans="1:15" x14ac:dyDescent="0.3">
      <c r="A60" s="20">
        <v>4.5</v>
      </c>
      <c r="B60" s="20">
        <v>-2.5</v>
      </c>
      <c r="C60" s="21">
        <v>3.99</v>
      </c>
      <c r="D60" s="21">
        <v>-1.8120000000000001</v>
      </c>
      <c r="E60" s="20">
        <f t="shared" si="4"/>
        <v>6.49</v>
      </c>
      <c r="F60" s="20">
        <f t="shared" si="0"/>
        <v>0.68799999999999994</v>
      </c>
      <c r="G60" s="20">
        <v>100</v>
      </c>
      <c r="H60" s="24">
        <v>100000</v>
      </c>
      <c r="I60" s="24">
        <f t="shared" si="1"/>
        <v>5.0999999999999978E-3</v>
      </c>
      <c r="J60" s="24">
        <f t="shared" si="2"/>
        <v>1.8119999999999999E-5</v>
      </c>
      <c r="K60" s="25">
        <f t="shared" si="3"/>
        <v>281.45695364238401</v>
      </c>
      <c r="L60" s="28"/>
      <c r="M60" s="27">
        <f>L52/I60</f>
        <v>31960.784313725504</v>
      </c>
      <c r="N60" s="24">
        <f t="shared" si="5"/>
        <v>0.2039999999999999</v>
      </c>
      <c r="O60" s="25">
        <f t="shared" si="6"/>
        <v>1379.6909492273733</v>
      </c>
    </row>
    <row r="61" spans="1:15" x14ac:dyDescent="0.3">
      <c r="A61" s="20">
        <v>5</v>
      </c>
      <c r="B61" s="20">
        <v>-2.5</v>
      </c>
      <c r="C61" s="21">
        <v>4.4771999999999998</v>
      </c>
      <c r="D61" s="21">
        <v>-1.8115999999999901</v>
      </c>
      <c r="E61" s="20"/>
      <c r="F61" s="20">
        <f t="shared" si="0"/>
        <v>0.68840000000000989</v>
      </c>
      <c r="G61" s="20">
        <v>100</v>
      </c>
      <c r="H61" s="24">
        <v>100000</v>
      </c>
      <c r="I61" s="24">
        <f t="shared" si="1"/>
        <v>5.2280000000000017E-3</v>
      </c>
      <c r="J61" s="24">
        <f t="shared" si="2"/>
        <v>1.8115999999999902E-5</v>
      </c>
      <c r="K61" s="25">
        <f t="shared" si="3"/>
        <v>288.58467652903676</v>
      </c>
      <c r="L61" s="28"/>
      <c r="M61" s="27">
        <f>L52/I61</f>
        <v>31178.270849273133</v>
      </c>
      <c r="N61" s="24">
        <f t="shared" si="5"/>
        <v>0.20912000000000006</v>
      </c>
      <c r="O61" s="25">
        <f t="shared" si="6"/>
        <v>1379.9955840141386</v>
      </c>
    </row>
    <row r="62" spans="1:15" x14ac:dyDescent="0.3">
      <c r="A62" s="29">
        <v>0.5</v>
      </c>
      <c r="B62" s="29">
        <v>-2</v>
      </c>
      <c r="C62" s="30">
        <v>0.14199999999999999</v>
      </c>
      <c r="D62" s="30">
        <v>-1.3320000000000001</v>
      </c>
      <c r="E62" s="29"/>
      <c r="F62" s="29">
        <f t="shared" si="0"/>
        <v>0.66799999999999993</v>
      </c>
      <c r="G62" s="29">
        <v>100</v>
      </c>
      <c r="H62" s="33">
        <v>100000</v>
      </c>
      <c r="I62" s="33">
        <f t="shared" si="1"/>
        <v>3.5799999999999998E-3</v>
      </c>
      <c r="J62" s="33">
        <f t="shared" si="2"/>
        <v>1.3320000000000001E-5</v>
      </c>
      <c r="K62" s="34">
        <f t="shared" si="3"/>
        <v>268.76876876876872</v>
      </c>
      <c r="L62" s="35">
        <v>113</v>
      </c>
      <c r="M62" s="36">
        <f>L62/I62</f>
        <v>31564.245810055869</v>
      </c>
      <c r="N62" s="33">
        <f t="shared" si="5"/>
        <v>0.14319999999999999</v>
      </c>
      <c r="O62" s="34">
        <f t="shared" si="6"/>
        <v>1876.8768768768768</v>
      </c>
    </row>
    <row r="63" spans="1:15" x14ac:dyDescent="0.3">
      <c r="A63" s="29">
        <v>1</v>
      </c>
      <c r="B63" s="29">
        <v>-2</v>
      </c>
      <c r="C63" s="30">
        <v>0.6452</v>
      </c>
      <c r="D63" s="30">
        <v>-1.3288</v>
      </c>
      <c r="E63" s="29"/>
      <c r="F63" s="29">
        <f t="shared" si="0"/>
        <v>0.67120000000000002</v>
      </c>
      <c r="G63" s="29">
        <v>100</v>
      </c>
      <c r="H63" s="33">
        <v>100000</v>
      </c>
      <c r="I63" s="33">
        <f t="shared" si="1"/>
        <v>3.5479999999999999E-3</v>
      </c>
      <c r="J63" s="33">
        <f t="shared" si="2"/>
        <v>1.3288000000000001E-5</v>
      </c>
      <c r="K63" s="34">
        <f t="shared" si="3"/>
        <v>267.0078266104756</v>
      </c>
      <c r="L63" s="37"/>
      <c r="M63" s="36">
        <f>L62/I63</f>
        <v>31848.928974069899</v>
      </c>
      <c r="N63" s="33">
        <f t="shared" si="5"/>
        <v>0.14191999999999999</v>
      </c>
      <c r="O63" s="34">
        <f t="shared" si="6"/>
        <v>1881.3967489464178</v>
      </c>
    </row>
    <row r="64" spans="1:15" x14ac:dyDescent="0.3">
      <c r="A64" s="29">
        <v>1.5</v>
      </c>
      <c r="B64" s="29">
        <v>-2</v>
      </c>
      <c r="C64" s="30">
        <v>1.1459999999999999</v>
      </c>
      <c r="D64" s="30">
        <v>-1.3280000000000001</v>
      </c>
      <c r="E64" s="29">
        <f t="shared" si="4"/>
        <v>3.1459999999999999</v>
      </c>
      <c r="F64" s="29">
        <f t="shared" si="0"/>
        <v>0.67199999999999993</v>
      </c>
      <c r="G64" s="29">
        <v>100</v>
      </c>
      <c r="H64" s="33">
        <v>100000</v>
      </c>
      <c r="I64" s="33">
        <f t="shared" si="1"/>
        <v>3.540000000000001E-3</v>
      </c>
      <c r="J64" s="33">
        <f t="shared" si="2"/>
        <v>1.328E-5</v>
      </c>
      <c r="K64" s="34">
        <f t="shared" si="3"/>
        <v>266.56626506024105</v>
      </c>
      <c r="L64" s="37"/>
      <c r="M64" s="36">
        <f>L62/I64</f>
        <v>31920.903954802252</v>
      </c>
      <c r="N64" s="33">
        <f t="shared" si="5"/>
        <v>0.14160000000000003</v>
      </c>
      <c r="O64" s="34">
        <f t="shared" si="6"/>
        <v>1882.5301204819277</v>
      </c>
    </row>
    <row r="65" spans="1:15" x14ac:dyDescent="0.3">
      <c r="A65" s="29">
        <v>2</v>
      </c>
      <c r="B65" s="29">
        <v>-2</v>
      </c>
      <c r="C65" s="30">
        <v>1.6459999999999999</v>
      </c>
      <c r="D65" s="30">
        <v>-1.3280000000000001</v>
      </c>
      <c r="E65" s="29">
        <f t="shared" si="4"/>
        <v>3.6459999999999999</v>
      </c>
      <c r="F65" s="29">
        <f t="shared" si="0"/>
        <v>0.67199999999999993</v>
      </c>
      <c r="G65" s="29">
        <v>100</v>
      </c>
      <c r="H65" s="33">
        <v>100000</v>
      </c>
      <c r="I65" s="33">
        <f t="shared" si="1"/>
        <v>3.540000000000001E-3</v>
      </c>
      <c r="J65" s="33">
        <f t="shared" si="2"/>
        <v>1.328E-5</v>
      </c>
      <c r="K65" s="34">
        <f t="shared" si="3"/>
        <v>266.56626506024105</v>
      </c>
      <c r="L65" s="37"/>
      <c r="M65" s="36">
        <f>L62/I65</f>
        <v>31920.903954802252</v>
      </c>
      <c r="N65" s="33">
        <f t="shared" si="5"/>
        <v>0.14160000000000003</v>
      </c>
      <c r="O65" s="34">
        <f t="shared" si="6"/>
        <v>1882.5301204819277</v>
      </c>
    </row>
    <row r="66" spans="1:15" x14ac:dyDescent="0.3">
      <c r="A66" s="29">
        <v>2.5</v>
      </c>
      <c r="B66" s="29">
        <v>-2</v>
      </c>
      <c r="C66" s="30">
        <v>2.1459999999999999</v>
      </c>
      <c r="D66" s="30">
        <v>-1.3280000000000001</v>
      </c>
      <c r="E66" s="29"/>
      <c r="F66" s="29">
        <f t="shared" ref="F66:F91" si="7">D66-B66</f>
        <v>0.67199999999999993</v>
      </c>
      <c r="G66" s="29">
        <v>100</v>
      </c>
      <c r="H66" s="33">
        <v>100000</v>
      </c>
      <c r="I66" s="33">
        <f t="shared" ref="I66:I91" si="8">(A66-C66)/G66</f>
        <v>3.540000000000001E-3</v>
      </c>
      <c r="J66" s="33">
        <f t="shared" ref="J66:J91" si="9">(0-D66)/H66</f>
        <v>1.328E-5</v>
      </c>
      <c r="K66" s="34">
        <f t="shared" ref="K66:K91" si="10">I66/J66</f>
        <v>266.56626506024105</v>
      </c>
      <c r="L66" s="37"/>
      <c r="M66" s="36">
        <f>L62/I66</f>
        <v>31920.903954802252</v>
      </c>
      <c r="N66" s="33">
        <f t="shared" si="5"/>
        <v>0.14160000000000003</v>
      </c>
      <c r="O66" s="34">
        <f t="shared" si="6"/>
        <v>1882.5301204819277</v>
      </c>
    </row>
    <row r="67" spans="1:15" x14ac:dyDescent="0.3">
      <c r="A67" s="29">
        <v>3</v>
      </c>
      <c r="B67" s="29">
        <v>-2</v>
      </c>
      <c r="C67" s="30">
        <v>2.6419999999999999</v>
      </c>
      <c r="D67" s="30">
        <v>-1.3280000000000001</v>
      </c>
      <c r="E67" s="29">
        <f t="shared" ref="E67:E91" si="11">C67-B67</f>
        <v>4.6419999999999995</v>
      </c>
      <c r="F67" s="29">
        <f t="shared" si="7"/>
        <v>0.67199999999999993</v>
      </c>
      <c r="G67" s="29">
        <v>100</v>
      </c>
      <c r="H67" s="33">
        <v>100000</v>
      </c>
      <c r="I67" s="33">
        <f t="shared" si="8"/>
        <v>3.5800000000000012E-3</v>
      </c>
      <c r="J67" s="33">
        <f t="shared" si="9"/>
        <v>1.328E-5</v>
      </c>
      <c r="K67" s="34">
        <f t="shared" si="10"/>
        <v>269.57831325301214</v>
      </c>
      <c r="L67" s="37"/>
      <c r="M67" s="36">
        <f>L62/I67</f>
        <v>31564.245810055854</v>
      </c>
      <c r="N67" s="33">
        <f t="shared" ref="N67:N91" si="12">I67/0.025</f>
        <v>0.14320000000000005</v>
      </c>
      <c r="O67" s="34">
        <f t="shared" ref="O67:O91" si="13">0.025/J67</f>
        <v>1882.5301204819277</v>
      </c>
    </row>
    <row r="68" spans="1:15" x14ac:dyDescent="0.3">
      <c r="A68" s="29">
        <v>3.5</v>
      </c>
      <c r="B68" s="29">
        <v>-2</v>
      </c>
      <c r="C68" s="30">
        <v>3.1383999999999999</v>
      </c>
      <c r="D68" s="30">
        <v>-1.3280000000000001</v>
      </c>
      <c r="E68" s="29">
        <f t="shared" si="11"/>
        <v>5.1383999999999999</v>
      </c>
      <c r="F68" s="29">
        <f t="shared" si="7"/>
        <v>0.67199999999999993</v>
      </c>
      <c r="G68" s="29">
        <v>100</v>
      </c>
      <c r="H68" s="33">
        <v>100000</v>
      </c>
      <c r="I68" s="33">
        <f t="shared" si="8"/>
        <v>3.6160000000000016E-3</v>
      </c>
      <c r="J68" s="33">
        <f t="shared" si="9"/>
        <v>1.328E-5</v>
      </c>
      <c r="K68" s="34">
        <f t="shared" si="10"/>
        <v>272.28915662650616</v>
      </c>
      <c r="L68" s="37"/>
      <c r="M68" s="36">
        <f>L62/I68</f>
        <v>31249.999999999985</v>
      </c>
      <c r="N68" s="33">
        <f t="shared" si="12"/>
        <v>0.14464000000000005</v>
      </c>
      <c r="O68" s="34">
        <f t="shared" si="13"/>
        <v>1882.5301204819277</v>
      </c>
    </row>
    <row r="69" spans="1:15" x14ac:dyDescent="0.3">
      <c r="A69" s="29">
        <v>4</v>
      </c>
      <c r="B69" s="29">
        <v>-2</v>
      </c>
      <c r="C69" s="30">
        <v>3.6399999999999899</v>
      </c>
      <c r="D69" s="30">
        <v>-1.3280000000000001</v>
      </c>
      <c r="E69" s="29">
        <f t="shared" si="11"/>
        <v>5.6399999999999899</v>
      </c>
      <c r="F69" s="29">
        <f t="shared" si="7"/>
        <v>0.67199999999999993</v>
      </c>
      <c r="G69" s="29">
        <v>100</v>
      </c>
      <c r="H69" s="33">
        <v>100000</v>
      </c>
      <c r="I69" s="33">
        <f t="shared" si="8"/>
        <v>3.6000000000001009E-3</v>
      </c>
      <c r="J69" s="33">
        <f t="shared" si="9"/>
        <v>1.328E-5</v>
      </c>
      <c r="K69" s="34">
        <f t="shared" si="10"/>
        <v>271.08433734940519</v>
      </c>
      <c r="L69" s="37"/>
      <c r="M69" s="36">
        <f>L62/I69</f>
        <v>31388.88888888801</v>
      </c>
      <c r="N69" s="33">
        <f t="shared" si="12"/>
        <v>0.14400000000000404</v>
      </c>
      <c r="O69" s="34">
        <f t="shared" si="13"/>
        <v>1882.5301204819277</v>
      </c>
    </row>
    <row r="70" spans="1:15" x14ac:dyDescent="0.3">
      <c r="A70" s="29">
        <v>4.5</v>
      </c>
      <c r="B70" s="29">
        <v>-2</v>
      </c>
      <c r="C70" s="30">
        <v>4.1379999999999999</v>
      </c>
      <c r="D70" s="30">
        <v>-1.3280000000000001</v>
      </c>
      <c r="E70" s="29">
        <f t="shared" si="11"/>
        <v>6.1379999999999999</v>
      </c>
      <c r="F70" s="29">
        <f t="shared" si="7"/>
        <v>0.67199999999999993</v>
      </c>
      <c r="G70" s="29">
        <v>100</v>
      </c>
      <c r="H70" s="33">
        <v>100000</v>
      </c>
      <c r="I70" s="33">
        <f t="shared" si="8"/>
        <v>3.6200000000000008E-3</v>
      </c>
      <c r="J70" s="33">
        <f t="shared" si="9"/>
        <v>1.328E-5</v>
      </c>
      <c r="K70" s="34">
        <f t="shared" si="10"/>
        <v>272.59036144578317</v>
      </c>
      <c r="L70" s="37"/>
      <c r="M70" s="36">
        <f>L62/I70</f>
        <v>31215.469613259662</v>
      </c>
      <c r="N70" s="33">
        <f t="shared" si="12"/>
        <v>0.14480000000000001</v>
      </c>
      <c r="O70" s="34">
        <f t="shared" si="13"/>
        <v>1882.5301204819277</v>
      </c>
    </row>
    <row r="71" spans="1:15" x14ac:dyDescent="0.3">
      <c r="A71" s="29">
        <v>5</v>
      </c>
      <c r="B71" s="29">
        <v>-2</v>
      </c>
      <c r="C71" s="30">
        <v>4.6360000000000001</v>
      </c>
      <c r="D71" s="30">
        <v>-1.3280000000000001</v>
      </c>
      <c r="E71" s="29">
        <f t="shared" si="11"/>
        <v>6.6360000000000001</v>
      </c>
      <c r="F71" s="29">
        <f t="shared" si="7"/>
        <v>0.67199999999999993</v>
      </c>
      <c r="G71" s="29">
        <v>100</v>
      </c>
      <c r="H71" s="33">
        <v>100000</v>
      </c>
      <c r="I71" s="33">
        <f t="shared" si="8"/>
        <v>3.6399999999999987E-3</v>
      </c>
      <c r="J71" s="33">
        <f t="shared" si="9"/>
        <v>1.328E-5</v>
      </c>
      <c r="K71" s="34">
        <f t="shared" si="10"/>
        <v>274.0963855421686</v>
      </c>
      <c r="L71" s="37"/>
      <c r="M71" s="36">
        <f>L62/I71</f>
        <v>31043.956043956056</v>
      </c>
      <c r="N71" s="33">
        <f t="shared" si="12"/>
        <v>0.14559999999999995</v>
      </c>
      <c r="O71" s="34">
        <f t="shared" si="13"/>
        <v>1882.5301204819277</v>
      </c>
    </row>
    <row r="72" spans="1:15" x14ac:dyDescent="0.3">
      <c r="A72" s="38">
        <v>0.5</v>
      </c>
      <c r="B72" s="38">
        <v>-1.5</v>
      </c>
      <c r="C72" s="39">
        <v>0.2868</v>
      </c>
      <c r="D72" s="39">
        <v>-0.84119999999999995</v>
      </c>
      <c r="E72" s="38"/>
      <c r="F72" s="38">
        <f t="shared" si="7"/>
        <v>0.65880000000000005</v>
      </c>
      <c r="G72" s="38">
        <v>100</v>
      </c>
      <c r="H72" s="42">
        <v>100000</v>
      </c>
      <c r="I72" s="42">
        <f t="shared" si="8"/>
        <v>2.1320000000000002E-3</v>
      </c>
      <c r="J72" s="42">
        <f t="shared" si="9"/>
        <v>8.4120000000000001E-6</v>
      </c>
      <c r="K72" s="43">
        <f t="shared" si="10"/>
        <v>253.44745601521637</v>
      </c>
      <c r="L72" s="44">
        <v>210</v>
      </c>
      <c r="M72" s="45">
        <f>L72/I72</f>
        <v>98499.061913696045</v>
      </c>
      <c r="N72" s="42">
        <f t="shared" si="12"/>
        <v>8.5280000000000009E-2</v>
      </c>
      <c r="O72" s="43">
        <f t="shared" si="13"/>
        <v>2971.9448407037567</v>
      </c>
    </row>
    <row r="73" spans="1:15" x14ac:dyDescent="0.3">
      <c r="A73" s="38">
        <v>1</v>
      </c>
      <c r="B73" s="38">
        <v>-1.5</v>
      </c>
      <c r="C73" s="39">
        <v>0.78439999999999999</v>
      </c>
      <c r="D73" s="39">
        <v>-0.83959999999999901</v>
      </c>
      <c r="E73" s="38">
        <f t="shared" si="11"/>
        <v>2.2843999999999998</v>
      </c>
      <c r="F73" s="38">
        <f t="shared" si="7"/>
        <v>0.66040000000000099</v>
      </c>
      <c r="G73" s="38">
        <v>100</v>
      </c>
      <c r="H73" s="42">
        <v>100000</v>
      </c>
      <c r="I73" s="42">
        <f t="shared" si="8"/>
        <v>2.1559999999999999E-3</v>
      </c>
      <c r="J73" s="42">
        <f t="shared" si="9"/>
        <v>8.3959999999999904E-6</v>
      </c>
      <c r="K73" s="43">
        <f t="shared" si="10"/>
        <v>256.78894711767538</v>
      </c>
      <c r="L73" s="19"/>
      <c r="M73" s="45">
        <f>L72/I73</f>
        <v>97402.597402597399</v>
      </c>
      <c r="N73" s="42">
        <f t="shared" si="12"/>
        <v>8.6239999999999997E-2</v>
      </c>
      <c r="O73" s="43">
        <f t="shared" si="13"/>
        <v>2977.6083849452157</v>
      </c>
    </row>
    <row r="74" spans="1:15" x14ac:dyDescent="0.3">
      <c r="A74" s="38">
        <v>1.5</v>
      </c>
      <c r="B74" s="38">
        <v>-1.5</v>
      </c>
      <c r="C74" s="39">
        <v>1.286</v>
      </c>
      <c r="D74" s="39">
        <v>-0.83799999999999897</v>
      </c>
      <c r="E74" s="38"/>
      <c r="F74" s="38">
        <f t="shared" si="7"/>
        <v>0.66200000000000103</v>
      </c>
      <c r="G74" s="38">
        <v>100</v>
      </c>
      <c r="H74" s="42">
        <v>100000</v>
      </c>
      <c r="I74" s="42">
        <f t="shared" si="8"/>
        <v>2.1399999999999995E-3</v>
      </c>
      <c r="J74" s="42">
        <f t="shared" si="9"/>
        <v>8.3799999999999892E-6</v>
      </c>
      <c r="K74" s="43">
        <f t="shared" si="10"/>
        <v>255.36992840095493</v>
      </c>
      <c r="L74" s="19"/>
      <c r="M74" s="45">
        <f>L72/I74</f>
        <v>98130.841121495352</v>
      </c>
      <c r="N74" s="42">
        <f t="shared" si="12"/>
        <v>8.5599999999999982E-2</v>
      </c>
      <c r="O74" s="43">
        <f t="shared" si="13"/>
        <v>2983.2935560859228</v>
      </c>
    </row>
    <row r="75" spans="1:15" x14ac:dyDescent="0.3">
      <c r="A75" s="38">
        <v>2</v>
      </c>
      <c r="B75" s="38">
        <v>-1.5</v>
      </c>
      <c r="C75" s="39">
        <v>1.7827999999999999</v>
      </c>
      <c r="D75" s="39">
        <v>-0.83840000000000003</v>
      </c>
      <c r="E75" s="38">
        <f t="shared" si="11"/>
        <v>3.2827999999999999</v>
      </c>
      <c r="F75" s="38">
        <f t="shared" si="7"/>
        <v>0.66159999999999997</v>
      </c>
      <c r="G75" s="38">
        <v>100</v>
      </c>
      <c r="H75" s="42">
        <v>100000</v>
      </c>
      <c r="I75" s="42">
        <f t="shared" si="8"/>
        <v>2.1720000000000008E-3</v>
      </c>
      <c r="J75" s="42">
        <f t="shared" si="9"/>
        <v>8.3839999999999997E-6</v>
      </c>
      <c r="K75" s="43">
        <f t="shared" si="10"/>
        <v>259.06488549618331</v>
      </c>
      <c r="L75" s="19"/>
      <c r="M75" s="45">
        <f>L72/I75</f>
        <v>96685.082872928149</v>
      </c>
      <c r="N75" s="42">
        <f t="shared" si="12"/>
        <v>8.6880000000000027E-2</v>
      </c>
      <c r="O75" s="43">
        <f t="shared" si="13"/>
        <v>2981.870229007634</v>
      </c>
    </row>
    <row r="76" spans="1:15" x14ac:dyDescent="0.3">
      <c r="A76" s="38">
        <v>2.5</v>
      </c>
      <c r="B76" s="38">
        <v>-1.5</v>
      </c>
      <c r="C76" s="39">
        <v>2.282</v>
      </c>
      <c r="D76" s="39">
        <v>-0.83799999999999897</v>
      </c>
      <c r="E76" s="38">
        <f t="shared" si="11"/>
        <v>3.782</v>
      </c>
      <c r="F76" s="38">
        <f t="shared" si="7"/>
        <v>0.66200000000000103</v>
      </c>
      <c r="G76" s="38">
        <v>100</v>
      </c>
      <c r="H76" s="42">
        <v>100000</v>
      </c>
      <c r="I76" s="42">
        <f t="shared" si="8"/>
        <v>2.1799999999999996E-3</v>
      </c>
      <c r="J76" s="42">
        <f t="shared" si="9"/>
        <v>8.3799999999999892E-6</v>
      </c>
      <c r="K76" s="43">
        <f t="shared" si="10"/>
        <v>260.14319809069241</v>
      </c>
      <c r="L76" s="19"/>
      <c r="M76" s="45">
        <f>L72/I76</f>
        <v>96330.275229357809</v>
      </c>
      <c r="N76" s="42">
        <f t="shared" si="12"/>
        <v>8.7199999999999986E-2</v>
      </c>
      <c r="O76" s="43">
        <f t="shared" si="13"/>
        <v>2983.2935560859228</v>
      </c>
    </row>
    <row r="77" spans="1:15" x14ac:dyDescent="0.3">
      <c r="A77" s="38">
        <v>3</v>
      </c>
      <c r="B77" s="38">
        <v>-1.5</v>
      </c>
      <c r="C77" s="39">
        <v>2.7804000000000002</v>
      </c>
      <c r="D77" s="39">
        <v>-0.83799999999999897</v>
      </c>
      <c r="E77" s="38"/>
      <c r="F77" s="38">
        <f t="shared" si="7"/>
        <v>0.66200000000000103</v>
      </c>
      <c r="G77" s="38">
        <v>100</v>
      </c>
      <c r="H77" s="42">
        <v>100000</v>
      </c>
      <c r="I77" s="42">
        <f t="shared" si="8"/>
        <v>2.1959999999999979E-3</v>
      </c>
      <c r="J77" s="42">
        <f t="shared" si="9"/>
        <v>8.3799999999999892E-6</v>
      </c>
      <c r="K77" s="43">
        <f t="shared" si="10"/>
        <v>262.0525059665872</v>
      </c>
      <c r="L77" s="19"/>
      <c r="M77" s="45">
        <f>L72/I77</f>
        <v>95628.415300546534</v>
      </c>
      <c r="N77" s="42">
        <f t="shared" si="12"/>
        <v>8.7839999999999904E-2</v>
      </c>
      <c r="O77" s="43">
        <f t="shared" si="13"/>
        <v>2983.2935560859228</v>
      </c>
    </row>
    <row r="78" spans="1:15" x14ac:dyDescent="0.3">
      <c r="A78" s="38">
        <v>3.5</v>
      </c>
      <c r="B78" s="38">
        <v>-1.5</v>
      </c>
      <c r="C78" s="39">
        <v>3.28</v>
      </c>
      <c r="D78" s="39">
        <v>-0.83799999999999897</v>
      </c>
      <c r="E78" s="38">
        <f t="shared" si="11"/>
        <v>4.7799999999999994</v>
      </c>
      <c r="F78" s="38">
        <f t="shared" si="7"/>
        <v>0.66200000000000103</v>
      </c>
      <c r="G78" s="38">
        <v>100</v>
      </c>
      <c r="H78" s="42">
        <v>100000</v>
      </c>
      <c r="I78" s="42">
        <f t="shared" si="8"/>
        <v>2.2000000000000019E-3</v>
      </c>
      <c r="J78" s="42">
        <f t="shared" si="9"/>
        <v>8.3799999999999892E-6</v>
      </c>
      <c r="K78" s="43">
        <f t="shared" si="10"/>
        <v>262.52983293556144</v>
      </c>
      <c r="L78" s="19"/>
      <c r="M78" s="45">
        <f>L72/I78</f>
        <v>95454.545454545369</v>
      </c>
      <c r="N78" s="42">
        <f t="shared" si="12"/>
        <v>8.8000000000000064E-2</v>
      </c>
      <c r="O78" s="43">
        <f t="shared" si="13"/>
        <v>2983.2935560859228</v>
      </c>
    </row>
    <row r="79" spans="1:15" x14ac:dyDescent="0.3">
      <c r="A79" s="38">
        <v>4</v>
      </c>
      <c r="B79" s="38">
        <v>-1.5</v>
      </c>
      <c r="C79" s="39">
        <v>3.78</v>
      </c>
      <c r="D79" s="39">
        <v>-0.83799999999999897</v>
      </c>
      <c r="E79" s="38">
        <f t="shared" si="11"/>
        <v>5.2799999999999994</v>
      </c>
      <c r="F79" s="38">
        <f t="shared" si="7"/>
        <v>0.66200000000000103</v>
      </c>
      <c r="G79" s="38">
        <v>100</v>
      </c>
      <c r="H79" s="42">
        <v>100000</v>
      </c>
      <c r="I79" s="42">
        <f t="shared" si="8"/>
        <v>2.2000000000000019E-3</v>
      </c>
      <c r="J79" s="42">
        <f t="shared" si="9"/>
        <v>8.3799999999999892E-6</v>
      </c>
      <c r="K79" s="43">
        <f t="shared" si="10"/>
        <v>262.52983293556144</v>
      </c>
      <c r="L79" s="19"/>
      <c r="M79" s="45">
        <f>L72/I79</f>
        <v>95454.545454545369</v>
      </c>
      <c r="N79" s="42">
        <f t="shared" si="12"/>
        <v>8.8000000000000064E-2</v>
      </c>
      <c r="O79" s="43">
        <f t="shared" si="13"/>
        <v>2983.2935560859228</v>
      </c>
    </row>
    <row r="80" spans="1:15" x14ac:dyDescent="0.3">
      <c r="A80" s="38">
        <v>4.5</v>
      </c>
      <c r="B80" s="38">
        <v>-1.5</v>
      </c>
      <c r="C80" s="39">
        <v>4.2816000000000001</v>
      </c>
      <c r="D80" s="39">
        <v>-0.83799999999999897</v>
      </c>
      <c r="E80" s="38"/>
      <c r="F80" s="38">
        <f t="shared" si="7"/>
        <v>0.66200000000000103</v>
      </c>
      <c r="G80" s="38">
        <v>100</v>
      </c>
      <c r="H80" s="42">
        <v>100000</v>
      </c>
      <c r="I80" s="42">
        <f t="shared" si="8"/>
        <v>2.1839999999999993E-3</v>
      </c>
      <c r="J80" s="42">
        <f t="shared" si="9"/>
        <v>8.3799999999999892E-6</v>
      </c>
      <c r="K80" s="43">
        <f t="shared" si="10"/>
        <v>260.62052505966614</v>
      </c>
      <c r="L80" s="19"/>
      <c r="M80" s="45">
        <f>L72/I80</f>
        <v>96153.846153846185</v>
      </c>
      <c r="N80" s="42">
        <f t="shared" si="12"/>
        <v>8.7359999999999965E-2</v>
      </c>
      <c r="O80" s="43">
        <f t="shared" si="13"/>
        <v>2983.2935560859228</v>
      </c>
    </row>
    <row r="81" spans="1:15" x14ac:dyDescent="0.3">
      <c r="A81" s="38">
        <v>5</v>
      </c>
      <c r="B81" s="38">
        <v>-1.5</v>
      </c>
      <c r="C81" s="39">
        <v>4.7796000000000003</v>
      </c>
      <c r="D81" s="39">
        <v>-0.83799999999999897</v>
      </c>
      <c r="E81" s="38">
        <f t="shared" si="11"/>
        <v>6.2796000000000003</v>
      </c>
      <c r="F81" s="38">
        <f t="shared" si="7"/>
        <v>0.66200000000000103</v>
      </c>
      <c r="G81" s="38">
        <v>100</v>
      </c>
      <c r="H81" s="42">
        <v>100000</v>
      </c>
      <c r="I81" s="42">
        <f t="shared" si="8"/>
        <v>2.2039999999999972E-3</v>
      </c>
      <c r="J81" s="42">
        <f t="shared" si="9"/>
        <v>8.3799999999999892E-6</v>
      </c>
      <c r="K81" s="43">
        <f t="shared" si="10"/>
        <v>263.0071599045346</v>
      </c>
      <c r="L81" s="19"/>
      <c r="M81" s="45">
        <f>L72/I81</f>
        <v>95281.306715063649</v>
      </c>
      <c r="N81" s="42">
        <f t="shared" si="12"/>
        <v>8.8159999999999877E-2</v>
      </c>
      <c r="O81" s="43">
        <f t="shared" si="13"/>
        <v>2983.2935560859228</v>
      </c>
    </row>
    <row r="82" spans="1:15" x14ac:dyDescent="0.3">
      <c r="A82" s="11">
        <v>0.5</v>
      </c>
      <c r="B82" s="11">
        <v>-1</v>
      </c>
      <c r="C82" s="12">
        <v>0.41599999999999998</v>
      </c>
      <c r="D82" s="12">
        <v>-0.35880000000000001</v>
      </c>
      <c r="E82" s="11">
        <f t="shared" si="11"/>
        <v>1.4159999999999999</v>
      </c>
      <c r="F82" s="11">
        <f t="shared" si="7"/>
        <v>0.64119999999999999</v>
      </c>
      <c r="G82" s="11">
        <v>100</v>
      </c>
      <c r="H82" s="15">
        <v>100000</v>
      </c>
      <c r="I82" s="15">
        <f t="shared" si="8"/>
        <v>8.4000000000000014E-4</v>
      </c>
      <c r="J82" s="15">
        <f t="shared" si="9"/>
        <v>3.5880000000000002E-6</v>
      </c>
      <c r="K82" s="16">
        <f t="shared" si="10"/>
        <v>234.11371237458198</v>
      </c>
      <c r="L82" s="17">
        <v>26</v>
      </c>
      <c r="M82" s="18">
        <f>L82/I82</f>
        <v>30952.380952380947</v>
      </c>
      <c r="N82" s="15">
        <f t="shared" si="12"/>
        <v>3.3600000000000005E-2</v>
      </c>
      <c r="O82" s="16">
        <f t="shared" si="13"/>
        <v>6967.6700111482724</v>
      </c>
    </row>
    <row r="83" spans="1:15" x14ac:dyDescent="0.3">
      <c r="A83" s="11">
        <v>1</v>
      </c>
      <c r="B83" s="11">
        <v>-1</v>
      </c>
      <c r="C83" s="12">
        <v>0.91799999999999904</v>
      </c>
      <c r="D83" s="12">
        <v>-0.35799999999999998</v>
      </c>
      <c r="E83" s="11">
        <f t="shared" si="11"/>
        <v>1.917999999999999</v>
      </c>
      <c r="F83" s="11">
        <f t="shared" si="7"/>
        <v>0.64200000000000002</v>
      </c>
      <c r="G83" s="11">
        <v>100</v>
      </c>
      <c r="H83" s="15">
        <v>100000</v>
      </c>
      <c r="I83" s="15">
        <f t="shared" si="8"/>
        <v>8.2000000000000963E-4</v>
      </c>
      <c r="J83" s="15">
        <f t="shared" si="9"/>
        <v>3.58E-6</v>
      </c>
      <c r="K83" s="16">
        <f t="shared" si="10"/>
        <v>229.05027932961164</v>
      </c>
      <c r="L83" s="19"/>
      <c r="M83" s="18">
        <f>L82/I83</f>
        <v>31707.317073170358</v>
      </c>
      <c r="N83" s="15">
        <f t="shared" si="12"/>
        <v>3.2800000000000384E-2</v>
      </c>
      <c r="O83" s="16">
        <f t="shared" si="13"/>
        <v>6983.2402234636875</v>
      </c>
    </row>
    <row r="84" spans="1:15" x14ac:dyDescent="0.3">
      <c r="A84" s="11">
        <v>1.5</v>
      </c>
      <c r="B84" s="11">
        <v>-1</v>
      </c>
      <c r="C84" s="12">
        <v>1.4179999999999999</v>
      </c>
      <c r="D84" s="12">
        <v>-0.35719999999999902</v>
      </c>
      <c r="E84" s="11"/>
      <c r="F84" s="11">
        <f t="shared" si="7"/>
        <v>0.64280000000000093</v>
      </c>
      <c r="G84" s="11">
        <v>100</v>
      </c>
      <c r="H84" s="15">
        <v>100000</v>
      </c>
      <c r="I84" s="15">
        <f t="shared" si="8"/>
        <v>8.2000000000000074E-4</v>
      </c>
      <c r="J84" s="15">
        <f t="shared" si="9"/>
        <v>3.5719999999999901E-6</v>
      </c>
      <c r="K84" s="16">
        <f t="shared" si="10"/>
        <v>229.56326987682056</v>
      </c>
      <c r="L84" s="19"/>
      <c r="M84" s="18">
        <f>L82/I84</f>
        <v>31707.317073170703</v>
      </c>
      <c r="N84" s="15">
        <f t="shared" si="12"/>
        <v>3.2800000000000031E-2</v>
      </c>
      <c r="O84" s="16">
        <f t="shared" si="13"/>
        <v>6998.8801791713522</v>
      </c>
    </row>
    <row r="85" spans="1:15" x14ac:dyDescent="0.3">
      <c r="A85" s="11">
        <v>2</v>
      </c>
      <c r="B85" s="11">
        <v>-1</v>
      </c>
      <c r="C85" s="12">
        <v>1.9124000000000001</v>
      </c>
      <c r="D85" s="12">
        <v>-0.35799999999999998</v>
      </c>
      <c r="E85" s="11">
        <f t="shared" si="11"/>
        <v>2.9123999999999999</v>
      </c>
      <c r="F85" s="11">
        <f t="shared" si="7"/>
        <v>0.64200000000000002</v>
      </c>
      <c r="G85" s="11">
        <v>100</v>
      </c>
      <c r="H85" s="15">
        <v>100000</v>
      </c>
      <c r="I85" s="15">
        <f t="shared" si="8"/>
        <v>8.7599999999999896E-4</v>
      </c>
      <c r="J85" s="15">
        <f t="shared" si="9"/>
        <v>3.58E-6</v>
      </c>
      <c r="K85" s="16">
        <f t="shared" si="10"/>
        <v>244.69273743016731</v>
      </c>
      <c r="L85" s="19"/>
      <c r="M85" s="18">
        <f>L82/I85</f>
        <v>29680.365296803688</v>
      </c>
      <c r="N85" s="15">
        <f t="shared" si="12"/>
        <v>3.5039999999999953E-2</v>
      </c>
      <c r="O85" s="16">
        <f t="shared" si="13"/>
        <v>6983.2402234636875</v>
      </c>
    </row>
    <row r="86" spans="1:15" x14ac:dyDescent="0.3">
      <c r="A86" s="11">
        <v>2.5</v>
      </c>
      <c r="B86" s="11">
        <v>-1</v>
      </c>
      <c r="C86" s="12">
        <v>2.4104000000000001</v>
      </c>
      <c r="D86" s="12">
        <v>-0.35599999999999998</v>
      </c>
      <c r="E86" s="11">
        <f t="shared" si="11"/>
        <v>3.4104000000000001</v>
      </c>
      <c r="F86" s="11">
        <f t="shared" si="7"/>
        <v>0.64400000000000002</v>
      </c>
      <c r="G86" s="11">
        <v>100</v>
      </c>
      <c r="H86" s="15">
        <v>100000</v>
      </c>
      <c r="I86" s="15">
        <f t="shared" si="8"/>
        <v>8.9599999999999901E-4</v>
      </c>
      <c r="J86" s="15">
        <f t="shared" si="9"/>
        <v>3.5599999999999998E-6</v>
      </c>
      <c r="K86" s="16">
        <f t="shared" si="10"/>
        <v>251.6853932584267</v>
      </c>
      <c r="L86" s="19"/>
      <c r="M86" s="18">
        <f>L82/I86</f>
        <v>29017.857142857174</v>
      </c>
      <c r="N86" s="15">
        <f t="shared" si="12"/>
        <v>3.5839999999999955E-2</v>
      </c>
      <c r="O86" s="16">
        <f t="shared" si="13"/>
        <v>7022.4719101123601</v>
      </c>
    </row>
    <row r="87" spans="1:15" x14ac:dyDescent="0.3">
      <c r="A87" s="11">
        <v>3</v>
      </c>
      <c r="B87" s="11">
        <v>-1</v>
      </c>
      <c r="C87" s="12">
        <v>2.9083999999999999</v>
      </c>
      <c r="D87" s="12">
        <v>-0.35599999999999998</v>
      </c>
      <c r="E87" s="11">
        <f t="shared" si="11"/>
        <v>3.9083999999999999</v>
      </c>
      <c r="F87" s="11">
        <f t="shared" si="7"/>
        <v>0.64400000000000002</v>
      </c>
      <c r="G87" s="11">
        <v>100</v>
      </c>
      <c r="H87" s="15">
        <v>100000</v>
      </c>
      <c r="I87" s="15">
        <f t="shared" si="8"/>
        <v>9.1600000000000123E-4</v>
      </c>
      <c r="J87" s="15">
        <f t="shared" si="9"/>
        <v>3.5599999999999998E-6</v>
      </c>
      <c r="K87" s="16">
        <f t="shared" si="10"/>
        <v>257.30337078651723</v>
      </c>
      <c r="L87" s="19"/>
      <c r="M87" s="18">
        <f>L82/I87</f>
        <v>28384.279475982494</v>
      </c>
      <c r="N87" s="15">
        <f t="shared" si="12"/>
        <v>3.6640000000000048E-2</v>
      </c>
      <c r="O87" s="16">
        <f t="shared" si="13"/>
        <v>7022.4719101123601</v>
      </c>
    </row>
    <row r="88" spans="1:15" x14ac:dyDescent="0.3">
      <c r="A88" s="11">
        <v>3.5</v>
      </c>
      <c r="B88" s="11">
        <v>-1</v>
      </c>
      <c r="C88" s="12">
        <v>3.4079999999999999</v>
      </c>
      <c r="D88" s="12">
        <v>-0.35599999999999998</v>
      </c>
      <c r="E88" s="11">
        <f t="shared" si="11"/>
        <v>4.4079999999999995</v>
      </c>
      <c r="F88" s="11">
        <f t="shared" si="7"/>
        <v>0.64400000000000002</v>
      </c>
      <c r="G88" s="11">
        <v>100</v>
      </c>
      <c r="H88" s="15">
        <v>100000</v>
      </c>
      <c r="I88" s="15">
        <f t="shared" si="8"/>
        <v>9.2000000000000079E-4</v>
      </c>
      <c r="J88" s="15">
        <f t="shared" si="9"/>
        <v>3.5599999999999998E-6</v>
      </c>
      <c r="K88" s="16">
        <f t="shared" si="10"/>
        <v>258.42696629213509</v>
      </c>
      <c r="L88" s="19"/>
      <c r="M88" s="18">
        <f>L82/I88</f>
        <v>28260.869565217366</v>
      </c>
      <c r="N88" s="15">
        <f t="shared" si="12"/>
        <v>3.6800000000000027E-2</v>
      </c>
      <c r="O88" s="16">
        <f t="shared" si="13"/>
        <v>7022.4719101123601</v>
      </c>
    </row>
    <row r="89" spans="1:15" x14ac:dyDescent="0.3">
      <c r="A89" s="11">
        <v>4</v>
      </c>
      <c r="B89" s="11">
        <v>-1</v>
      </c>
      <c r="C89" s="12">
        <v>3.9060000000000001</v>
      </c>
      <c r="D89" s="12">
        <v>-0.35599999999999998</v>
      </c>
      <c r="E89" s="11">
        <f t="shared" si="11"/>
        <v>4.9060000000000006</v>
      </c>
      <c r="F89" s="11">
        <f t="shared" si="7"/>
        <v>0.64400000000000002</v>
      </c>
      <c r="G89" s="11">
        <v>100</v>
      </c>
      <c r="H89" s="15">
        <v>100000</v>
      </c>
      <c r="I89" s="15">
        <f t="shared" si="8"/>
        <v>9.3999999999999856E-4</v>
      </c>
      <c r="J89" s="15">
        <f t="shared" si="9"/>
        <v>3.5599999999999998E-6</v>
      </c>
      <c r="K89" s="16">
        <f t="shared" si="10"/>
        <v>264.04494382022432</v>
      </c>
      <c r="L89" s="19"/>
      <c r="M89" s="18">
        <f>L82/I89</f>
        <v>27659.574468085149</v>
      </c>
      <c r="N89" s="15">
        <f t="shared" si="12"/>
        <v>3.7599999999999939E-2</v>
      </c>
      <c r="O89" s="16">
        <f t="shared" si="13"/>
        <v>7022.4719101123601</v>
      </c>
    </row>
    <row r="90" spans="1:15" x14ac:dyDescent="0.3">
      <c r="A90" s="11">
        <v>4.5</v>
      </c>
      <c r="B90" s="11">
        <v>-1</v>
      </c>
      <c r="C90" s="12">
        <v>4.4063999999999997</v>
      </c>
      <c r="D90" s="12">
        <v>-0.35599999999999998</v>
      </c>
      <c r="E90" s="11">
        <f t="shared" si="11"/>
        <v>5.4063999999999997</v>
      </c>
      <c r="F90" s="11">
        <f t="shared" si="7"/>
        <v>0.64400000000000002</v>
      </c>
      <c r="G90" s="11">
        <v>100</v>
      </c>
      <c r="H90" s="15">
        <v>100000</v>
      </c>
      <c r="I90" s="15">
        <f t="shared" si="8"/>
        <v>9.3600000000000345E-4</v>
      </c>
      <c r="J90" s="15">
        <f t="shared" si="9"/>
        <v>3.5599999999999998E-6</v>
      </c>
      <c r="K90" s="16">
        <f t="shared" si="10"/>
        <v>262.92134831460771</v>
      </c>
      <c r="L90" s="19"/>
      <c r="M90" s="18">
        <f>L82/I90</f>
        <v>27777.777777777676</v>
      </c>
      <c r="N90" s="15">
        <f t="shared" si="12"/>
        <v>3.7440000000000133E-2</v>
      </c>
      <c r="O90" s="16">
        <f t="shared" si="13"/>
        <v>7022.4719101123601</v>
      </c>
    </row>
    <row r="91" spans="1:15" x14ac:dyDescent="0.3">
      <c r="A91" s="11">
        <v>5</v>
      </c>
      <c r="B91" s="11">
        <v>-1</v>
      </c>
      <c r="C91" s="12">
        <v>4.9059999999999997</v>
      </c>
      <c r="D91" s="12">
        <v>-0.35599999999999998</v>
      </c>
      <c r="E91" s="11">
        <f t="shared" si="11"/>
        <v>5.9059999999999997</v>
      </c>
      <c r="F91" s="11">
        <f t="shared" si="7"/>
        <v>0.64400000000000002</v>
      </c>
      <c r="G91" s="11">
        <v>100</v>
      </c>
      <c r="H91" s="15">
        <v>100000</v>
      </c>
      <c r="I91" s="15">
        <f t="shared" si="8"/>
        <v>9.4000000000000301E-4</v>
      </c>
      <c r="J91" s="15">
        <f t="shared" si="9"/>
        <v>3.5599999999999998E-6</v>
      </c>
      <c r="K91" s="16">
        <f t="shared" si="10"/>
        <v>264.04494382022557</v>
      </c>
      <c r="L91" s="19"/>
      <c r="M91" s="18">
        <f>L82/I91</f>
        <v>27659.574468085018</v>
      </c>
      <c r="N91" s="15">
        <f t="shared" si="12"/>
        <v>3.7600000000000119E-2</v>
      </c>
      <c r="O91" s="16">
        <f t="shared" si="13"/>
        <v>7022.4719101123601</v>
      </c>
    </row>
  </sheetData>
  <mergeCells count="9">
    <mergeCell ref="L62:L71"/>
    <mergeCell ref="L72:L81"/>
    <mergeCell ref="L82:L91"/>
    <mergeCell ref="L22:L31"/>
    <mergeCell ref="L2:L11"/>
    <mergeCell ref="L12:L21"/>
    <mergeCell ref="L32:L41"/>
    <mergeCell ref="L42:L51"/>
    <mergeCell ref="L52:L6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1"/>
  <sheetViews>
    <sheetView workbookViewId="0">
      <pane ySplit="1" topLeftCell="A2" activePane="bottomLeft" state="frozen"/>
      <selection pane="bottomLeft" activeCell="H96" sqref="H96"/>
    </sheetView>
  </sheetViews>
  <sheetFormatPr defaultColWidth="9" defaultRowHeight="14.4" x14ac:dyDescent="0.3"/>
  <cols>
    <col min="1" max="1" width="8.88671875" style="1" bestFit="1" customWidth="1"/>
    <col min="2" max="2" width="8.5546875" style="1" bestFit="1" customWidth="1"/>
    <col min="3" max="4" width="14.109375" style="4" bestFit="1" customWidth="1"/>
    <col min="5" max="5" width="10" style="5" bestFit="1" customWidth="1"/>
    <col min="6" max="6" width="12.21875" style="4" bestFit="1" customWidth="1"/>
    <col min="7" max="8" width="9.109375" style="1" bestFit="1" customWidth="1"/>
    <col min="9" max="10" width="9" style="1" bestFit="1" customWidth="1"/>
    <col min="11" max="11" width="8.21875" style="1" bestFit="1" customWidth="1"/>
    <col min="12" max="12" width="10.5546875" style="3" bestFit="1" customWidth="1"/>
    <col min="13" max="13" width="9" style="3" bestFit="1" customWidth="1"/>
    <col min="14" max="14" width="13.21875" style="2" bestFit="1" customWidth="1"/>
    <col min="15" max="15" width="12.44140625" style="3" bestFit="1" customWidth="1"/>
    <col min="16" max="16384" width="9" style="1"/>
  </cols>
  <sheetData>
    <row r="1" spans="1:15" x14ac:dyDescent="0.3">
      <c r="A1" s="6" t="s">
        <v>16</v>
      </c>
      <c r="B1" s="6" t="s">
        <v>17</v>
      </c>
      <c r="C1" s="8" t="s">
        <v>6</v>
      </c>
      <c r="D1" s="8" t="s">
        <v>7</v>
      </c>
      <c r="E1" s="7" t="s">
        <v>18</v>
      </c>
      <c r="F1" s="8" t="s">
        <v>19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21</v>
      </c>
      <c r="L1" s="9" t="s">
        <v>9</v>
      </c>
      <c r="M1" s="9" t="s">
        <v>12</v>
      </c>
      <c r="N1" s="10" t="s">
        <v>10</v>
      </c>
      <c r="O1" s="9" t="s">
        <v>11</v>
      </c>
    </row>
    <row r="2" spans="1:15" x14ac:dyDescent="0.3">
      <c r="A2" s="11">
        <v>5</v>
      </c>
      <c r="B2" s="11">
        <v>-5</v>
      </c>
      <c r="C2" s="48">
        <v>-4.4341730499938601</v>
      </c>
      <c r="D2" s="48">
        <v>4.2789288400806802</v>
      </c>
      <c r="E2" s="13">
        <f>A2-C2</f>
        <v>9.4341730499938592</v>
      </c>
      <c r="F2" s="14">
        <f>A2-D2</f>
        <v>0.7210711599193198</v>
      </c>
      <c r="G2" s="11">
        <v>100</v>
      </c>
      <c r="H2" s="15">
        <v>100000</v>
      </c>
      <c r="I2" s="15">
        <f>(C2-B2)/G2</f>
        <v>5.658269500061399E-3</v>
      </c>
      <c r="J2" s="15">
        <f>(D2-0)/H2</f>
        <v>4.2789288400806803E-5</v>
      </c>
      <c r="K2" s="16">
        <f t="shared" ref="K2:K65" si="0">I2/J2</f>
        <v>132.2356531630171</v>
      </c>
      <c r="L2" s="17">
        <v>132</v>
      </c>
      <c r="M2" s="18">
        <f>L2/I2</f>
        <v>23328.687330740901</v>
      </c>
      <c r="N2" s="15">
        <f>I2/0.025</f>
        <v>0.22633078000245596</v>
      </c>
      <c r="O2" s="16">
        <f>0.025/J2</f>
        <v>584.25837246521303</v>
      </c>
    </row>
    <row r="3" spans="1:15" x14ac:dyDescent="0.3">
      <c r="A3" s="11">
        <v>5</v>
      </c>
      <c r="B3" s="11">
        <v>-4.5</v>
      </c>
      <c r="C3" s="48">
        <v>-3.9361045279799698</v>
      </c>
      <c r="D3" s="48">
        <v>4.2789288421276401</v>
      </c>
      <c r="E3" s="13">
        <f t="shared" ref="E3:E11" si="1">A3-C3</f>
        <v>8.9361045279799693</v>
      </c>
      <c r="F3" s="14">
        <f t="shared" ref="F3:F11" si="2">A3-D3</f>
        <v>0.72107115787235987</v>
      </c>
      <c r="G3" s="11">
        <v>100</v>
      </c>
      <c r="H3" s="15">
        <v>100000</v>
      </c>
      <c r="I3" s="15">
        <f t="shared" ref="I3:I11" si="3">(C3-B3)/G3</f>
        <v>5.638954720200302E-3</v>
      </c>
      <c r="J3" s="15">
        <f t="shared" ref="J3:J11" si="4">(D3-0)/H3</f>
        <v>4.2789288421276404E-5</v>
      </c>
      <c r="K3" s="16">
        <f t="shared" si="0"/>
        <v>131.78426022612723</v>
      </c>
      <c r="L3" s="19"/>
      <c r="M3" s="18">
        <f>L2/I3</f>
        <v>23408.593711018701</v>
      </c>
      <c r="N3" s="15">
        <f t="shared" ref="N3:N66" si="5">I3/0.025</f>
        <v>0.22555818880801207</v>
      </c>
      <c r="O3" s="16">
        <f t="shared" ref="O3:O66" si="6">0.025/J3</f>
        <v>584.25837218571473</v>
      </c>
    </row>
    <row r="4" spans="1:15" x14ac:dyDescent="0.3">
      <c r="A4" s="11">
        <v>5</v>
      </c>
      <c r="B4" s="11">
        <v>-4</v>
      </c>
      <c r="C4" s="48">
        <v>-3.43803600591011</v>
      </c>
      <c r="D4" s="48">
        <v>4.2789288441444304</v>
      </c>
      <c r="E4" s="13">
        <f t="shared" si="1"/>
        <v>8.43803600591011</v>
      </c>
      <c r="F4" s="14">
        <f t="shared" si="2"/>
        <v>0.72107115585556958</v>
      </c>
      <c r="G4" s="11">
        <v>100</v>
      </c>
      <c r="H4" s="15">
        <v>100000</v>
      </c>
      <c r="I4" s="15">
        <f t="shared" si="3"/>
        <v>5.6196399408988996E-3</v>
      </c>
      <c r="J4" s="15">
        <f t="shared" si="4"/>
        <v>4.2789288441444306E-5</v>
      </c>
      <c r="K4" s="16">
        <f t="shared" si="0"/>
        <v>131.33286730367547</v>
      </c>
      <c r="L4" s="19"/>
      <c r="M4" s="18">
        <f>L2/I4</f>
        <v>23489.049367615837</v>
      </c>
      <c r="N4" s="15">
        <f t="shared" si="5"/>
        <v>0.22478559763595599</v>
      </c>
      <c r="O4" s="16">
        <f t="shared" si="6"/>
        <v>584.25837191033577</v>
      </c>
    </row>
    <row r="5" spans="1:15" x14ac:dyDescent="0.3">
      <c r="A5" s="11">
        <v>5</v>
      </c>
      <c r="B5" s="11">
        <v>-3.5</v>
      </c>
      <c r="C5" s="48">
        <v>-2.93996748377868</v>
      </c>
      <c r="D5" s="48">
        <v>4.2789288461306301</v>
      </c>
      <c r="E5" s="13">
        <f t="shared" si="1"/>
        <v>7.9399674837786804</v>
      </c>
      <c r="F5" s="14">
        <f t="shared" si="2"/>
        <v>0.72107115386936993</v>
      </c>
      <c r="G5" s="11">
        <v>100</v>
      </c>
      <c r="H5" s="15">
        <v>100000</v>
      </c>
      <c r="I5" s="15">
        <f t="shared" si="3"/>
        <v>5.6003251622132001E-3</v>
      </c>
      <c r="J5" s="15">
        <f t="shared" si="4"/>
        <v>4.2789288461306301E-5</v>
      </c>
      <c r="K5" s="16">
        <f t="shared" si="0"/>
        <v>130.88147439697411</v>
      </c>
      <c r="L5" s="19"/>
      <c r="M5" s="18">
        <f>L2/I5</f>
        <v>23570.059983416166</v>
      </c>
      <c r="N5" s="15">
        <f t="shared" si="5"/>
        <v>0.22401300648852798</v>
      </c>
      <c r="O5" s="16">
        <f t="shared" si="6"/>
        <v>584.25837163913388</v>
      </c>
    </row>
    <row r="6" spans="1:15" x14ac:dyDescent="0.3">
      <c r="A6" s="11">
        <v>5</v>
      </c>
      <c r="B6" s="11">
        <v>-3</v>
      </c>
      <c r="C6" s="48">
        <v>-2.4418989615865101</v>
      </c>
      <c r="D6" s="48">
        <v>4.2789288480862604</v>
      </c>
      <c r="E6" s="13">
        <f t="shared" si="1"/>
        <v>7.4418989615865101</v>
      </c>
      <c r="F6" s="14">
        <f t="shared" si="2"/>
        <v>0.72107115191373961</v>
      </c>
      <c r="G6" s="11">
        <v>100</v>
      </c>
      <c r="H6" s="15">
        <v>100000</v>
      </c>
      <c r="I6" s="15">
        <f t="shared" si="3"/>
        <v>5.5810103841348992E-3</v>
      </c>
      <c r="J6" s="15">
        <f t="shared" si="4"/>
        <v>4.2789288480862604E-5</v>
      </c>
      <c r="K6" s="16">
        <f t="shared" si="0"/>
        <v>130.43008150581872</v>
      </c>
      <c r="L6" s="19"/>
      <c r="M6" s="18">
        <f>L2/I6</f>
        <v>23651.631320241853</v>
      </c>
      <c r="N6" s="15">
        <f t="shared" si="5"/>
        <v>0.22324041536539596</v>
      </c>
      <c r="O6" s="16">
        <f t="shared" si="6"/>
        <v>584.25837137210601</v>
      </c>
    </row>
    <row r="7" spans="1:15" x14ac:dyDescent="0.3">
      <c r="A7" s="11">
        <v>5</v>
      </c>
      <c r="B7" s="11">
        <v>-2.5</v>
      </c>
      <c r="C7" s="48">
        <v>-1.9438304393402099</v>
      </c>
      <c r="D7" s="48">
        <v>4.2789288500117504</v>
      </c>
      <c r="E7" s="13">
        <f t="shared" si="1"/>
        <v>6.9438304393402097</v>
      </c>
      <c r="F7" s="14">
        <f t="shared" si="2"/>
        <v>0.72107114998824962</v>
      </c>
      <c r="G7" s="11">
        <v>100</v>
      </c>
      <c r="H7" s="15">
        <v>100000</v>
      </c>
      <c r="I7" s="15">
        <f t="shared" si="3"/>
        <v>5.5616956065979006E-3</v>
      </c>
      <c r="J7" s="15">
        <f t="shared" si="4"/>
        <v>4.2789288500117506E-5</v>
      </c>
      <c r="K7" s="16">
        <f t="shared" si="0"/>
        <v>129.97868862864189</v>
      </c>
      <c r="L7" s="19"/>
      <c r="M7" s="18">
        <f>L2/I7</f>
        <v>23733.769220200931</v>
      </c>
      <c r="N7" s="15">
        <f t="shared" si="5"/>
        <v>0.22246782426391601</v>
      </c>
      <c r="O7" s="16">
        <f t="shared" si="6"/>
        <v>584.25837110919349</v>
      </c>
    </row>
    <row r="8" spans="1:15" x14ac:dyDescent="0.3">
      <c r="A8" s="11">
        <v>5</v>
      </c>
      <c r="B8" s="11">
        <v>-2</v>
      </c>
      <c r="C8" s="48">
        <v>-1.44576191703252</v>
      </c>
      <c r="D8" s="48">
        <v>4.27892885190656</v>
      </c>
      <c r="E8" s="13">
        <f t="shared" si="1"/>
        <v>6.4457619170325202</v>
      </c>
      <c r="F8" s="14">
        <f t="shared" si="2"/>
        <v>0.72107114809343997</v>
      </c>
      <c r="G8" s="11">
        <v>100</v>
      </c>
      <c r="H8" s="15">
        <v>100000</v>
      </c>
      <c r="I8" s="15">
        <f t="shared" si="3"/>
        <v>5.5423808296747997E-3</v>
      </c>
      <c r="J8" s="15">
        <f t="shared" si="4"/>
        <v>4.2789288519065599E-5</v>
      </c>
      <c r="K8" s="16">
        <f t="shared" si="0"/>
        <v>129.52729576714705</v>
      </c>
      <c r="L8" s="19"/>
      <c r="M8" s="18">
        <f>L2/I8</f>
        <v>23816.479606246245</v>
      </c>
      <c r="N8" s="15">
        <f t="shared" si="5"/>
        <v>0.22169523318699197</v>
      </c>
      <c r="O8" s="16">
        <f t="shared" si="6"/>
        <v>584.25837085047033</v>
      </c>
    </row>
    <row r="9" spans="1:15" x14ac:dyDescent="0.3">
      <c r="A9" s="11">
        <v>5</v>
      </c>
      <c r="B9" s="11">
        <v>-1.5</v>
      </c>
      <c r="C9" s="48">
        <v>-0.94769339466977898</v>
      </c>
      <c r="D9" s="48">
        <v>4.2789288537710997</v>
      </c>
      <c r="E9" s="13">
        <f t="shared" si="1"/>
        <v>5.9476933946697788</v>
      </c>
      <c r="F9" s="14">
        <f t="shared" si="2"/>
        <v>0.72107114622890034</v>
      </c>
      <c r="G9" s="11">
        <v>100</v>
      </c>
      <c r="H9" s="15">
        <v>100000</v>
      </c>
      <c r="I9" s="15">
        <f t="shared" si="3"/>
        <v>5.52306605330221E-3</v>
      </c>
      <c r="J9" s="15">
        <f t="shared" si="4"/>
        <v>4.2789288537710997E-5</v>
      </c>
      <c r="K9" s="16">
        <f t="shared" si="0"/>
        <v>129.07590291983072</v>
      </c>
      <c r="L9" s="19"/>
      <c r="M9" s="18">
        <f>L2/I9</f>
        <v>23899.76848476725</v>
      </c>
      <c r="N9" s="15">
        <f t="shared" si="5"/>
        <v>0.2209226421320884</v>
      </c>
      <c r="O9" s="16">
        <f t="shared" si="6"/>
        <v>584.25837059588025</v>
      </c>
    </row>
    <row r="10" spans="1:15" x14ac:dyDescent="0.3">
      <c r="A10" s="11">
        <v>5</v>
      </c>
      <c r="B10" s="11">
        <v>-1</v>
      </c>
      <c r="C10" s="48">
        <v>-0.44962487225229297</v>
      </c>
      <c r="D10" s="48">
        <v>4.2789288556053604</v>
      </c>
      <c r="E10" s="13">
        <f t="shared" si="1"/>
        <v>5.4496248722522926</v>
      </c>
      <c r="F10" s="14">
        <f t="shared" si="2"/>
        <v>0.7210711443946396</v>
      </c>
      <c r="G10" s="11">
        <v>100</v>
      </c>
      <c r="H10" s="15">
        <v>100000</v>
      </c>
      <c r="I10" s="15">
        <f t="shared" si="3"/>
        <v>5.5037512774770703E-3</v>
      </c>
      <c r="J10" s="15">
        <f t="shared" si="4"/>
        <v>4.2789288556053604E-5</v>
      </c>
      <c r="K10" s="16">
        <f t="shared" si="0"/>
        <v>128.62451008661205</v>
      </c>
      <c r="L10" s="19"/>
      <c r="M10" s="18">
        <f>L2/I10</f>
        <v>23983.641946208922</v>
      </c>
      <c r="N10" s="15">
        <f t="shared" si="5"/>
        <v>0.22015005109908281</v>
      </c>
      <c r="O10" s="16">
        <f t="shared" si="6"/>
        <v>584.25837034542451</v>
      </c>
    </row>
    <row r="11" spans="1:15" x14ac:dyDescent="0.3">
      <c r="A11" s="11">
        <v>5</v>
      </c>
      <c r="B11" s="11">
        <v>-0.5</v>
      </c>
      <c r="C11" s="48">
        <v>4.8443650224504697E-2</v>
      </c>
      <c r="D11" s="48">
        <v>4.2789288574089701</v>
      </c>
      <c r="E11" s="13">
        <f t="shared" si="1"/>
        <v>4.9515563497754957</v>
      </c>
      <c r="F11" s="14">
        <f t="shared" si="2"/>
        <v>0.72107114259102989</v>
      </c>
      <c r="G11" s="11">
        <v>100</v>
      </c>
      <c r="H11" s="15">
        <v>100000</v>
      </c>
      <c r="I11" s="15">
        <f t="shared" si="3"/>
        <v>5.4844365022450473E-3</v>
      </c>
      <c r="J11" s="15">
        <f t="shared" si="4"/>
        <v>4.27892885740897E-5</v>
      </c>
      <c r="K11" s="16">
        <f t="shared" si="0"/>
        <v>128.17311726855985</v>
      </c>
      <c r="L11" s="19"/>
      <c r="M11" s="18">
        <f>L2/I11</f>
        <v>24068.106166598147</v>
      </c>
      <c r="N11" s="15">
        <f t="shared" si="5"/>
        <v>0.21937746008980188</v>
      </c>
      <c r="O11" s="16">
        <f t="shared" si="6"/>
        <v>584.25837009915404</v>
      </c>
    </row>
    <row r="12" spans="1:15" x14ac:dyDescent="0.3">
      <c r="A12" s="20">
        <v>4.5</v>
      </c>
      <c r="B12" s="20">
        <v>-5</v>
      </c>
      <c r="C12" s="49">
        <v>-4.4993280626158301</v>
      </c>
      <c r="D12" s="49">
        <v>3.78351064569791</v>
      </c>
      <c r="E12" s="22">
        <f>A12-C12</f>
        <v>8.999328062615831</v>
      </c>
      <c r="F12" s="23">
        <f>A12-D12</f>
        <v>0.71648935430209004</v>
      </c>
      <c r="G12" s="20">
        <v>100</v>
      </c>
      <c r="H12" s="24">
        <v>100000</v>
      </c>
      <c r="I12" s="24">
        <f>(C12-B12)/G12</f>
        <v>5.0067193738416995E-3</v>
      </c>
      <c r="J12" s="24">
        <f>(D12-0)/H12</f>
        <v>3.7835106456979103E-5</v>
      </c>
      <c r="K12" s="25">
        <f t="shared" si="0"/>
        <v>132.32999303265223</v>
      </c>
      <c r="L12" s="26">
        <v>156</v>
      </c>
      <c r="M12" s="27">
        <f>L12/I12</f>
        <v>31158.127378786929</v>
      </c>
      <c r="N12" s="24">
        <f t="shared" si="5"/>
        <v>0.20026877495366796</v>
      </c>
      <c r="O12" s="25">
        <f t="shared" si="6"/>
        <v>660.76198380534686</v>
      </c>
    </row>
    <row r="13" spans="1:15" x14ac:dyDescent="0.3">
      <c r="A13" s="20">
        <v>4.5</v>
      </c>
      <c r="B13" s="20">
        <v>-4.5</v>
      </c>
      <c r="C13" s="49">
        <v>-4.0010415061986402</v>
      </c>
      <c r="D13" s="49">
        <v>3.7835106476504499</v>
      </c>
      <c r="E13" s="22">
        <f t="shared" ref="E13:E21" si="7">A13-C13</f>
        <v>8.5010415061986393</v>
      </c>
      <c r="F13" s="23">
        <f t="shared" ref="F13:F21" si="8">A13-D13</f>
        <v>0.71648935234955013</v>
      </c>
      <c r="G13" s="20">
        <v>100</v>
      </c>
      <c r="H13" s="24">
        <v>100000</v>
      </c>
      <c r="I13" s="24">
        <f t="shared" ref="I13:I21" si="9">(C13-B13)/G13</f>
        <v>4.9895849380135983E-3</v>
      </c>
      <c r="J13" s="24">
        <f t="shared" ref="J13:J21" si="10">(D13-0)/H13</f>
        <v>3.7835106476504499E-5</v>
      </c>
      <c r="K13" s="25">
        <f t="shared" si="0"/>
        <v>131.87712161222851</v>
      </c>
      <c r="L13" s="28"/>
      <c r="M13" s="27">
        <f>L12/I13</f>
        <v>31265.125644319647</v>
      </c>
      <c r="N13" s="24">
        <f t="shared" si="5"/>
        <v>0.19958339752054391</v>
      </c>
      <c r="O13" s="25">
        <f t="shared" si="6"/>
        <v>660.76198346435035</v>
      </c>
    </row>
    <row r="14" spans="1:15" x14ac:dyDescent="0.3">
      <c r="A14" s="20">
        <v>4.5</v>
      </c>
      <c r="B14" s="20">
        <v>-4</v>
      </c>
      <c r="C14" s="49">
        <v>-3.5027549494466399</v>
      </c>
      <c r="D14" s="49">
        <v>3.7835106493376101</v>
      </c>
      <c r="E14" s="22">
        <f t="shared" si="7"/>
        <v>8.0027549494466399</v>
      </c>
      <c r="F14" s="23">
        <f t="shared" si="8"/>
        <v>0.71648935066238995</v>
      </c>
      <c r="G14" s="20">
        <v>100</v>
      </c>
      <c r="H14" s="24">
        <v>100000</v>
      </c>
      <c r="I14" s="24">
        <f t="shared" si="9"/>
        <v>4.9724505055336009E-3</v>
      </c>
      <c r="J14" s="24">
        <f t="shared" si="10"/>
        <v>3.7835106493376101E-5</v>
      </c>
      <c r="K14" s="25">
        <f t="shared" si="0"/>
        <v>131.42425028998244</v>
      </c>
      <c r="L14" s="28"/>
      <c r="M14" s="27">
        <f>L12/I14</f>
        <v>31372.861293721297</v>
      </c>
      <c r="N14" s="24">
        <f t="shared" si="5"/>
        <v>0.19889802022134404</v>
      </c>
      <c r="O14" s="25">
        <f t="shared" si="6"/>
        <v>660.76198316970044</v>
      </c>
    </row>
    <row r="15" spans="1:15" x14ac:dyDescent="0.3">
      <c r="A15" s="20">
        <v>4.5</v>
      </c>
      <c r="B15" s="20">
        <v>-3.5</v>
      </c>
      <c r="C15" s="49">
        <v>-3.0044683923689002</v>
      </c>
      <c r="D15" s="49">
        <v>3.78351065075982</v>
      </c>
      <c r="E15" s="22">
        <f t="shared" si="7"/>
        <v>7.5044683923689002</v>
      </c>
      <c r="F15" s="23">
        <f t="shared" si="8"/>
        <v>0.71648934924018004</v>
      </c>
      <c r="G15" s="20">
        <v>100</v>
      </c>
      <c r="H15" s="24">
        <v>100000</v>
      </c>
      <c r="I15" s="24">
        <f t="shared" si="9"/>
        <v>4.9553160763109979E-3</v>
      </c>
      <c r="J15" s="24">
        <f t="shared" si="10"/>
        <v>3.7835106507598198E-5</v>
      </c>
      <c r="K15" s="25">
        <f t="shared" si="0"/>
        <v>130.9713790634064</v>
      </c>
      <c r="L15" s="28"/>
      <c r="M15" s="27">
        <f>L12/I15</f>
        <v>31481.341976501069</v>
      </c>
      <c r="N15" s="24">
        <f t="shared" si="5"/>
        <v>0.19821264305243991</v>
      </c>
      <c r="O15" s="25">
        <f t="shared" si="6"/>
        <v>660.7619829213221</v>
      </c>
    </row>
    <row r="16" spans="1:15" x14ac:dyDescent="0.3">
      <c r="A16" s="20">
        <v>4.5</v>
      </c>
      <c r="B16" s="20">
        <v>-3</v>
      </c>
      <c r="C16" s="49">
        <v>-2.5061818349661098</v>
      </c>
      <c r="D16" s="49">
        <v>3.7835106519168802</v>
      </c>
      <c r="E16" s="22">
        <f t="shared" si="7"/>
        <v>7.0061818349661102</v>
      </c>
      <c r="F16" s="23">
        <f t="shared" si="8"/>
        <v>0.71648934808311981</v>
      </c>
      <c r="G16" s="20">
        <v>100</v>
      </c>
      <c r="H16" s="24">
        <v>100000</v>
      </c>
      <c r="I16" s="24">
        <f t="shared" si="9"/>
        <v>4.9381816503389023E-3</v>
      </c>
      <c r="J16" s="24">
        <f t="shared" si="10"/>
        <v>3.7835106519168804E-5</v>
      </c>
      <c r="K16" s="25">
        <f t="shared" si="0"/>
        <v>130.51850793223005</v>
      </c>
      <c r="L16" s="28"/>
      <c r="M16" s="27">
        <f>L12/I16</f>
        <v>31590.575447805546</v>
      </c>
      <c r="N16" s="24">
        <f t="shared" si="5"/>
        <v>0.19752726601355608</v>
      </c>
      <c r="O16" s="25">
        <f t="shared" si="6"/>
        <v>660.76198271925</v>
      </c>
    </row>
    <row r="17" spans="1:15" x14ac:dyDescent="0.3">
      <c r="A17" s="20">
        <v>4.5</v>
      </c>
      <c r="B17" s="20">
        <v>-2.5</v>
      </c>
      <c r="C17" s="49">
        <v>-2.0078952772422798</v>
      </c>
      <c r="D17" s="49">
        <v>3.78351065280884</v>
      </c>
      <c r="E17" s="22">
        <f t="shared" si="7"/>
        <v>6.5078952772422802</v>
      </c>
      <c r="F17" s="23">
        <f t="shared" si="8"/>
        <v>0.71648934719115998</v>
      </c>
      <c r="G17" s="20">
        <v>100</v>
      </c>
      <c r="H17" s="24">
        <v>100000</v>
      </c>
      <c r="I17" s="24">
        <f t="shared" si="9"/>
        <v>4.9210472275772023E-3</v>
      </c>
      <c r="J17" s="24">
        <f t="shared" si="10"/>
        <v>3.7835106528088399E-5</v>
      </c>
      <c r="K17" s="25">
        <f t="shared" si="0"/>
        <v>130.06563689529634</v>
      </c>
      <c r="L17" s="28"/>
      <c r="M17" s="27">
        <f>L12/I17</f>
        <v>31700.569571002485</v>
      </c>
      <c r="N17" s="24">
        <f t="shared" si="5"/>
        <v>0.19684188910308809</v>
      </c>
      <c r="O17" s="25">
        <f t="shared" si="6"/>
        <v>660.76198256347595</v>
      </c>
    </row>
    <row r="18" spans="1:15" x14ac:dyDescent="0.3">
      <c r="A18" s="20">
        <v>4.5</v>
      </c>
      <c r="B18" s="20">
        <v>-2</v>
      </c>
      <c r="C18" s="49">
        <v>-1.50960871919757</v>
      </c>
      <c r="D18" s="49">
        <v>3.7835106534354401</v>
      </c>
      <c r="E18" s="22">
        <f t="shared" si="7"/>
        <v>6.00960871919757</v>
      </c>
      <c r="F18" s="23">
        <f t="shared" si="8"/>
        <v>0.71648934656455987</v>
      </c>
      <c r="G18" s="20">
        <v>100</v>
      </c>
      <c r="H18" s="24">
        <v>100000</v>
      </c>
      <c r="I18" s="24">
        <f t="shared" si="9"/>
        <v>4.9039128080243001E-3</v>
      </c>
      <c r="J18" s="24">
        <f t="shared" si="10"/>
        <v>3.7835106534354404E-5</v>
      </c>
      <c r="K18" s="25">
        <f t="shared" si="0"/>
        <v>129.61276595247674</v>
      </c>
      <c r="L18" s="28"/>
      <c r="M18" s="27">
        <f>L12/I18</f>
        <v>31811.332319109817</v>
      </c>
      <c r="N18" s="24">
        <f t="shared" si="5"/>
        <v>0.196156512320972</v>
      </c>
      <c r="O18" s="25">
        <f t="shared" si="6"/>
        <v>660.76198245404487</v>
      </c>
    </row>
    <row r="19" spans="1:15" x14ac:dyDescent="0.3">
      <c r="A19" s="20">
        <v>4.5</v>
      </c>
      <c r="B19" s="20">
        <v>-1.5</v>
      </c>
      <c r="C19" s="49">
        <v>-1.01132216083867</v>
      </c>
      <c r="D19" s="49">
        <v>3.7835106537969398</v>
      </c>
      <c r="E19" s="22">
        <f t="shared" si="7"/>
        <v>5.5113221608386702</v>
      </c>
      <c r="F19" s="23">
        <f t="shared" si="8"/>
        <v>0.71648934620306015</v>
      </c>
      <c r="G19" s="20">
        <v>100</v>
      </c>
      <c r="H19" s="24">
        <v>100000</v>
      </c>
      <c r="I19" s="24">
        <f t="shared" si="9"/>
        <v>4.8867783916133004E-3</v>
      </c>
      <c r="J19" s="24">
        <f t="shared" si="10"/>
        <v>3.7835106537969398E-5</v>
      </c>
      <c r="K19" s="25">
        <f t="shared" si="0"/>
        <v>129.159895101899</v>
      </c>
      <c r="L19" s="28"/>
      <c r="M19" s="27">
        <f>L12/I19</f>
        <v>31922.871777391734</v>
      </c>
      <c r="N19" s="24">
        <f t="shared" si="5"/>
        <v>0.195471135664532</v>
      </c>
      <c r="O19" s="25">
        <f t="shared" si="6"/>
        <v>660.76198239091161</v>
      </c>
    </row>
    <row r="20" spans="1:15" x14ac:dyDescent="0.3">
      <c r="A20" s="20">
        <v>4.5</v>
      </c>
      <c r="B20" s="20">
        <v>-1</v>
      </c>
      <c r="C20" s="49">
        <v>-0.51303560216802002</v>
      </c>
      <c r="D20" s="49">
        <v>3.7835106538932699</v>
      </c>
      <c r="E20" s="22">
        <f t="shared" si="7"/>
        <v>5.0130356021680198</v>
      </c>
      <c r="F20" s="23">
        <f t="shared" si="8"/>
        <v>0.7164893461067301</v>
      </c>
      <c r="G20" s="20">
        <v>100</v>
      </c>
      <c r="H20" s="24">
        <v>100000</v>
      </c>
      <c r="I20" s="24">
        <f t="shared" si="9"/>
        <v>4.8696439783198001E-3</v>
      </c>
      <c r="J20" s="24">
        <f t="shared" si="10"/>
        <v>3.7835106538932698E-5</v>
      </c>
      <c r="K20" s="25">
        <f t="shared" si="0"/>
        <v>128.70702434282532</v>
      </c>
      <c r="L20" s="28"/>
      <c r="M20" s="27">
        <f>L12/I20</f>
        <v>32035.196144631816</v>
      </c>
      <c r="N20" s="24">
        <f t="shared" si="5"/>
        <v>0.194785759132792</v>
      </c>
      <c r="O20" s="25">
        <f t="shared" si="6"/>
        <v>660.76198237408835</v>
      </c>
    </row>
    <row r="21" spans="1:15" x14ac:dyDescent="0.3">
      <c r="A21" s="20">
        <v>4.5</v>
      </c>
      <c r="B21" s="20">
        <v>-0.5</v>
      </c>
      <c r="C21" s="49">
        <v>-1.47490531239467E-2</v>
      </c>
      <c r="D21" s="49">
        <v>3.7835106623552899</v>
      </c>
      <c r="E21" s="22">
        <f t="shared" si="7"/>
        <v>4.5147490531239471</v>
      </c>
      <c r="F21" s="23">
        <f t="shared" si="8"/>
        <v>0.71648933764471012</v>
      </c>
      <c r="G21" s="20">
        <v>100</v>
      </c>
      <c r="H21" s="24">
        <v>100000</v>
      </c>
      <c r="I21" s="24">
        <f t="shared" si="9"/>
        <v>4.8525094687605326E-3</v>
      </c>
      <c r="J21" s="24">
        <f t="shared" si="10"/>
        <v>3.7835106623552902E-5</v>
      </c>
      <c r="K21" s="25">
        <f t="shared" si="0"/>
        <v>128.2541507558426</v>
      </c>
      <c r="L21" s="28"/>
      <c r="M21" s="27">
        <f>L12/I21</f>
        <v>32148.314393675319</v>
      </c>
      <c r="N21" s="24">
        <f t="shared" si="5"/>
        <v>0.1941003787504213</v>
      </c>
      <c r="O21" s="25">
        <f t="shared" si="6"/>
        <v>660.76198089625939</v>
      </c>
    </row>
    <row r="22" spans="1:15" x14ac:dyDescent="0.3">
      <c r="A22" s="29">
        <v>4</v>
      </c>
      <c r="B22" s="29">
        <v>-5</v>
      </c>
      <c r="C22" s="50">
        <v>-4.5648615347638302</v>
      </c>
      <c r="D22" s="50">
        <v>3.2887327339508898</v>
      </c>
      <c r="E22" s="31">
        <f>A22-C22</f>
        <v>8.5648615347638302</v>
      </c>
      <c r="F22" s="32">
        <f>A22-D22</f>
        <v>0.71126726604911017</v>
      </c>
      <c r="G22" s="29">
        <v>100</v>
      </c>
      <c r="H22" s="33">
        <v>100000</v>
      </c>
      <c r="I22" s="33">
        <f>(C22-B22)/G22</f>
        <v>4.3513846523616983E-3</v>
      </c>
      <c r="J22" s="33">
        <f>(D22-0)/H22</f>
        <v>3.2887327339508898E-5</v>
      </c>
      <c r="K22" s="34">
        <f t="shared" si="0"/>
        <v>132.31189653815989</v>
      </c>
      <c r="L22" s="35">
        <v>136</v>
      </c>
      <c r="M22" s="36">
        <f>L22/I22</f>
        <v>31254.419194172249</v>
      </c>
      <c r="N22" s="33">
        <f t="shared" si="5"/>
        <v>0.17405538609446791</v>
      </c>
      <c r="O22" s="34">
        <f t="shared" si="6"/>
        <v>760.17122771683773</v>
      </c>
    </row>
    <row r="23" spans="1:15" x14ac:dyDescent="0.3">
      <c r="A23" s="29">
        <v>4</v>
      </c>
      <c r="B23" s="29">
        <v>-4.5</v>
      </c>
      <c r="C23" s="50">
        <v>-4.0663543452909696</v>
      </c>
      <c r="D23" s="50">
        <v>3.2887327366927201</v>
      </c>
      <c r="E23" s="31">
        <f t="shared" ref="E23:E31" si="11">A23-C23</f>
        <v>8.0663543452909696</v>
      </c>
      <c r="F23" s="32">
        <f t="shared" ref="F23:F31" si="12">A23-D23</f>
        <v>0.71126726330727985</v>
      </c>
      <c r="G23" s="29">
        <v>100</v>
      </c>
      <c r="H23" s="33">
        <v>100000</v>
      </c>
      <c r="I23" s="33">
        <f t="shared" ref="I23:I31" si="13">(C23-B23)/G23</f>
        <v>4.3364565470903034E-3</v>
      </c>
      <c r="J23" s="33">
        <f t="shared" ref="J23:J31" si="14">(D23-0)/H23</f>
        <v>3.2887327366927198E-5</v>
      </c>
      <c r="K23" s="34">
        <f t="shared" si="0"/>
        <v>131.85797978376365</v>
      </c>
      <c r="L23" s="37"/>
      <c r="M23" s="36">
        <f>L22/I23</f>
        <v>31362.011477148073</v>
      </c>
      <c r="N23" s="33">
        <f t="shared" si="5"/>
        <v>0.17345826188361213</v>
      </c>
      <c r="O23" s="34">
        <f t="shared" si="6"/>
        <v>760.17122708307988</v>
      </c>
    </row>
    <row r="24" spans="1:15" x14ac:dyDescent="0.3">
      <c r="A24" s="29">
        <v>4</v>
      </c>
      <c r="B24" s="29">
        <v>-4</v>
      </c>
      <c r="C24" s="50">
        <v>-3.56784715384727</v>
      </c>
      <c r="D24" s="50">
        <v>3.2887327371478698</v>
      </c>
      <c r="E24" s="31">
        <f t="shared" si="11"/>
        <v>7.5678471538472696</v>
      </c>
      <c r="F24" s="32">
        <f t="shared" si="12"/>
        <v>0.71126726285213016</v>
      </c>
      <c r="G24" s="29">
        <v>100</v>
      </c>
      <c r="H24" s="33">
        <v>100000</v>
      </c>
      <c r="I24" s="33">
        <f t="shared" si="13"/>
        <v>4.3215284615272997E-3</v>
      </c>
      <c r="J24" s="33">
        <f t="shared" si="14"/>
        <v>3.2887327371478699E-5</v>
      </c>
      <c r="K24" s="34">
        <f t="shared" si="0"/>
        <v>131.40406372076055</v>
      </c>
      <c r="L24" s="37"/>
      <c r="M24" s="36">
        <f>L22/I24</f>
        <v>31470.346941076339</v>
      </c>
      <c r="N24" s="33">
        <f t="shared" si="5"/>
        <v>0.17286113846109197</v>
      </c>
      <c r="O24" s="34">
        <f t="shared" si="6"/>
        <v>760.17122697787454</v>
      </c>
    </row>
    <row r="25" spans="1:15" x14ac:dyDescent="0.3">
      <c r="A25" s="29">
        <v>4</v>
      </c>
      <c r="B25" s="29">
        <v>-3.5</v>
      </c>
      <c r="C25" s="50">
        <v>-3.06933996045063</v>
      </c>
      <c r="D25" s="50">
        <v>3.28873273531558</v>
      </c>
      <c r="E25" s="31">
        <f t="shared" si="11"/>
        <v>7.0693399604506304</v>
      </c>
      <c r="F25" s="32">
        <f t="shared" si="12"/>
        <v>0.71126726468442003</v>
      </c>
      <c r="G25" s="29">
        <v>100</v>
      </c>
      <c r="H25" s="33">
        <v>100000</v>
      </c>
      <c r="I25" s="33">
        <f t="shared" si="13"/>
        <v>4.3066003954937001E-3</v>
      </c>
      <c r="J25" s="33">
        <f t="shared" si="14"/>
        <v>3.2887327353155798E-5</v>
      </c>
      <c r="K25" s="34">
        <f t="shared" si="0"/>
        <v>130.95014834279161</v>
      </c>
      <c r="L25" s="37"/>
      <c r="M25" s="36">
        <f>L22/I25</f>
        <v>31579.433314106969</v>
      </c>
      <c r="N25" s="33">
        <f t="shared" si="5"/>
        <v>0.17226401581974798</v>
      </c>
      <c r="O25" s="34">
        <f t="shared" si="6"/>
        <v>760.17122740139769</v>
      </c>
    </row>
    <row r="26" spans="1:15" x14ac:dyDescent="0.3">
      <c r="A26" s="29">
        <v>4</v>
      </c>
      <c r="B26" s="29">
        <v>-3</v>
      </c>
      <c r="C26" s="50">
        <v>-2.5708327651204499</v>
      </c>
      <c r="D26" s="50">
        <v>3.2887327311952599</v>
      </c>
      <c r="E26" s="31">
        <f t="shared" si="11"/>
        <v>6.5708327651204499</v>
      </c>
      <c r="F26" s="32">
        <f t="shared" si="12"/>
        <v>0.71126726880474012</v>
      </c>
      <c r="G26" s="29">
        <v>100</v>
      </c>
      <c r="H26" s="33">
        <v>100000</v>
      </c>
      <c r="I26" s="33">
        <f t="shared" si="13"/>
        <v>4.291672348795501E-3</v>
      </c>
      <c r="J26" s="33">
        <f t="shared" si="14"/>
        <v>3.2887327311952599E-5</v>
      </c>
      <c r="K26" s="34">
        <f t="shared" si="0"/>
        <v>130.49623364303403</v>
      </c>
      <c r="L26" s="37"/>
      <c r="M26" s="36">
        <f>L22/I26</f>
        <v>31689.278432024221</v>
      </c>
      <c r="N26" s="33">
        <f t="shared" si="5"/>
        <v>0.17166689395182003</v>
      </c>
      <c r="O26" s="34">
        <f t="shared" si="6"/>
        <v>760.17122835378541</v>
      </c>
    </row>
    <row r="27" spans="1:15" x14ac:dyDescent="0.3">
      <c r="A27" s="29">
        <v>4</v>
      </c>
      <c r="B27" s="29">
        <v>-2.5</v>
      </c>
      <c r="C27" s="50">
        <v>-2.0723255678779999</v>
      </c>
      <c r="D27" s="50">
        <v>3.28873272478645</v>
      </c>
      <c r="E27" s="31">
        <f t="shared" si="11"/>
        <v>6.0723255678779999</v>
      </c>
      <c r="F27" s="32">
        <f t="shared" si="12"/>
        <v>0.71126727521355004</v>
      </c>
      <c r="G27" s="29">
        <v>100</v>
      </c>
      <c r="H27" s="33">
        <v>100000</v>
      </c>
      <c r="I27" s="33">
        <f t="shared" si="13"/>
        <v>4.276744321220001E-3</v>
      </c>
      <c r="J27" s="33">
        <f t="shared" si="14"/>
        <v>3.28873272478645E-5</v>
      </c>
      <c r="K27" s="34">
        <f t="shared" si="0"/>
        <v>130.04231961409107</v>
      </c>
      <c r="L27" s="37"/>
      <c r="M27" s="36">
        <f>L22/I27</f>
        <v>31799.89024015448</v>
      </c>
      <c r="N27" s="33">
        <f t="shared" si="5"/>
        <v>0.17106977284880004</v>
      </c>
      <c r="O27" s="34">
        <f t="shared" si="6"/>
        <v>760.17122983514412</v>
      </c>
    </row>
    <row r="28" spans="1:15" x14ac:dyDescent="0.3">
      <c r="A28" s="29">
        <v>4</v>
      </c>
      <c r="B28" s="29">
        <v>-2</v>
      </c>
      <c r="C28" s="50">
        <v>-1.5738183928057099</v>
      </c>
      <c r="D28" s="50">
        <v>3.2887327448869601</v>
      </c>
      <c r="E28" s="31">
        <f t="shared" si="11"/>
        <v>5.5738183928057099</v>
      </c>
      <c r="F28" s="32">
        <f t="shared" si="12"/>
        <v>0.7112672551130399</v>
      </c>
      <c r="G28" s="29">
        <v>100</v>
      </c>
      <c r="H28" s="33">
        <v>100000</v>
      </c>
      <c r="I28" s="33">
        <f t="shared" si="13"/>
        <v>4.2618160719429012E-3</v>
      </c>
      <c r="J28" s="33">
        <f t="shared" si="14"/>
        <v>3.2887327448869599E-5</v>
      </c>
      <c r="K28" s="34">
        <f t="shared" si="0"/>
        <v>129.58839779756528</v>
      </c>
      <c r="L28" s="37"/>
      <c r="M28" s="36">
        <f>L22/I28</f>
        <v>31911.278596778942</v>
      </c>
      <c r="N28" s="33">
        <f t="shared" si="5"/>
        <v>0.17047264287771605</v>
      </c>
      <c r="O28" s="34">
        <f t="shared" si="6"/>
        <v>760.17122518902943</v>
      </c>
    </row>
    <row r="29" spans="1:15" x14ac:dyDescent="0.3">
      <c r="A29" s="29">
        <v>4</v>
      </c>
      <c r="B29" s="29">
        <v>-1.5</v>
      </c>
      <c r="C29" s="50">
        <v>-1.0753111867897001</v>
      </c>
      <c r="D29" s="50">
        <v>3.2887327283435499</v>
      </c>
      <c r="E29" s="31">
        <f t="shared" si="11"/>
        <v>5.0753111867897003</v>
      </c>
      <c r="F29" s="32">
        <f t="shared" si="12"/>
        <v>0.7112672716564501</v>
      </c>
      <c r="G29" s="29">
        <v>100</v>
      </c>
      <c r="H29" s="33">
        <v>100000</v>
      </c>
      <c r="I29" s="33">
        <f t="shared" si="13"/>
        <v>4.2468881321029994E-3</v>
      </c>
      <c r="J29" s="33">
        <f t="shared" si="14"/>
        <v>3.28873272834355E-5</v>
      </c>
      <c r="K29" s="34">
        <f t="shared" si="0"/>
        <v>129.13448683444847</v>
      </c>
      <c r="L29" s="37"/>
      <c r="M29" s="36">
        <f>L22/I29</f>
        <v>32023.447703260954</v>
      </c>
      <c r="N29" s="33">
        <f t="shared" si="5"/>
        <v>0.16987552528411998</v>
      </c>
      <c r="O29" s="34">
        <f t="shared" si="6"/>
        <v>760.17122901294135</v>
      </c>
    </row>
    <row r="30" spans="1:15" x14ac:dyDescent="0.3">
      <c r="A30" s="29">
        <v>4</v>
      </c>
      <c r="B30" s="29">
        <v>-1</v>
      </c>
      <c r="C30" s="50">
        <v>-0.57680401173006501</v>
      </c>
      <c r="D30" s="50">
        <v>3.28873274816493</v>
      </c>
      <c r="E30" s="31">
        <f t="shared" si="11"/>
        <v>4.576804011730065</v>
      </c>
      <c r="F30" s="32">
        <f t="shared" si="12"/>
        <v>0.71126725183507</v>
      </c>
      <c r="G30" s="29">
        <v>100</v>
      </c>
      <c r="H30" s="33">
        <v>100000</v>
      </c>
      <c r="I30" s="33">
        <f t="shared" si="13"/>
        <v>4.2319598826993498E-3</v>
      </c>
      <c r="J30" s="33">
        <f t="shared" si="14"/>
        <v>3.28873274816493E-5</v>
      </c>
      <c r="K30" s="34">
        <f t="shared" si="0"/>
        <v>128.680565031036</v>
      </c>
      <c r="L30" s="37"/>
      <c r="M30" s="36">
        <f>L22/I30</f>
        <v>32136.410497646917</v>
      </c>
      <c r="N30" s="33">
        <f t="shared" si="5"/>
        <v>0.16927839530797398</v>
      </c>
      <c r="O30" s="34">
        <f t="shared" si="6"/>
        <v>760.17122443134599</v>
      </c>
    </row>
    <row r="31" spans="1:15" x14ac:dyDescent="0.3">
      <c r="A31" s="29">
        <v>4</v>
      </c>
      <c r="B31" s="29">
        <v>-0.5</v>
      </c>
      <c r="C31" s="50">
        <v>-7.8296805991576096E-2</v>
      </c>
      <c r="D31" s="50">
        <v>3.2887327314310899</v>
      </c>
      <c r="E31" s="31">
        <f t="shared" si="11"/>
        <v>4.0782968059915765</v>
      </c>
      <c r="F31" s="32">
        <f t="shared" si="12"/>
        <v>0.71126726856891009</v>
      </c>
      <c r="G31" s="29">
        <v>100</v>
      </c>
      <c r="H31" s="33">
        <v>100000</v>
      </c>
      <c r="I31" s="33">
        <f t="shared" si="13"/>
        <v>4.2170319400842392E-3</v>
      </c>
      <c r="J31" s="33">
        <f t="shared" si="14"/>
        <v>3.2887327314310901E-5</v>
      </c>
      <c r="K31" s="34">
        <f t="shared" si="0"/>
        <v>128.22665398684435</v>
      </c>
      <c r="L31" s="37"/>
      <c r="M31" s="36">
        <f>L22/I31</f>
        <v>32250.17072014002</v>
      </c>
      <c r="N31" s="33">
        <f t="shared" si="5"/>
        <v>0.16868127760336957</v>
      </c>
      <c r="O31" s="34">
        <f t="shared" si="6"/>
        <v>760.17122829927462</v>
      </c>
    </row>
    <row r="32" spans="1:15" x14ac:dyDescent="0.3">
      <c r="A32" s="38">
        <v>3.5</v>
      </c>
      <c r="B32" s="38">
        <v>-5</v>
      </c>
      <c r="C32" s="51">
        <v>-4.6307225548550104</v>
      </c>
      <c r="D32" s="51">
        <v>2.7948024297390299</v>
      </c>
      <c r="E32" s="40">
        <f>A32-C32</f>
        <v>8.1307225548550104</v>
      </c>
      <c r="F32" s="41">
        <f>A32-D32</f>
        <v>0.70519757026097007</v>
      </c>
      <c r="G32" s="38">
        <v>100</v>
      </c>
      <c r="H32" s="42">
        <v>100000</v>
      </c>
      <c r="I32" s="42">
        <f>(C32-B32)/G32</f>
        <v>3.6927744514498959E-3</v>
      </c>
      <c r="J32" s="42">
        <f>(D32-0)/H32</f>
        <v>2.79480242973903E-5</v>
      </c>
      <c r="K32" s="43">
        <f t="shared" si="0"/>
        <v>132.13007159846774</v>
      </c>
      <c r="L32" s="44">
        <v>116</v>
      </c>
      <c r="M32" s="45">
        <f>L32/I32</f>
        <v>31412.695664219314</v>
      </c>
      <c r="N32" s="42">
        <f t="shared" si="5"/>
        <v>0.14771097805799582</v>
      </c>
      <c r="O32" s="43">
        <f t="shared" si="6"/>
        <v>894.51761362374452</v>
      </c>
    </row>
    <row r="33" spans="1:15" x14ac:dyDescent="0.3">
      <c r="A33" s="38">
        <v>3.5</v>
      </c>
      <c r="B33" s="38">
        <v>-4.5</v>
      </c>
      <c r="C33" s="51">
        <v>-4.1319923231512998</v>
      </c>
      <c r="D33" s="51">
        <v>2.7948024410167598</v>
      </c>
      <c r="E33" s="40">
        <f t="shared" ref="E33:E41" si="15">A33-C33</f>
        <v>7.6319923231512998</v>
      </c>
      <c r="F33" s="41">
        <f t="shared" ref="F33:F41" si="16">A33-D33</f>
        <v>0.70519755898324021</v>
      </c>
      <c r="G33" s="38">
        <v>100</v>
      </c>
      <c r="H33" s="42">
        <v>100000</v>
      </c>
      <c r="I33" s="42">
        <f t="shared" ref="I33:I41" si="17">(C33-B33)/G33</f>
        <v>3.6800767684870019E-3</v>
      </c>
      <c r="J33" s="42">
        <f t="shared" ref="J33:J41" si="18">(D33-0)/H33</f>
        <v>2.7948024410167597E-5</v>
      </c>
      <c r="K33" s="43">
        <f t="shared" si="0"/>
        <v>131.67573902462229</v>
      </c>
      <c r="L33" s="46"/>
      <c r="M33" s="45">
        <f>L32/I33</f>
        <v>31521.081569092195</v>
      </c>
      <c r="N33" s="42">
        <f t="shared" si="5"/>
        <v>0.14720307073948008</v>
      </c>
      <c r="O33" s="43">
        <f t="shared" si="6"/>
        <v>894.51761001414138</v>
      </c>
    </row>
    <row r="34" spans="1:15" x14ac:dyDescent="0.3">
      <c r="A34" s="38">
        <v>3.5</v>
      </c>
      <c r="B34" s="38">
        <v>-4</v>
      </c>
      <c r="C34" s="51">
        <v>-3.6332620806121598</v>
      </c>
      <c r="D34" s="51">
        <v>2.7948024324658398</v>
      </c>
      <c r="E34" s="40">
        <f t="shared" si="15"/>
        <v>7.1332620806121598</v>
      </c>
      <c r="F34" s="41">
        <f t="shared" si="16"/>
        <v>0.70519756753416019</v>
      </c>
      <c r="G34" s="38">
        <v>100</v>
      </c>
      <c r="H34" s="42">
        <v>100000</v>
      </c>
      <c r="I34" s="42">
        <f t="shared" si="17"/>
        <v>3.6673791938784017E-3</v>
      </c>
      <c r="J34" s="42">
        <f t="shared" si="18"/>
        <v>2.7948024324658397E-5</v>
      </c>
      <c r="K34" s="43">
        <f t="shared" si="0"/>
        <v>131.22141126243017</v>
      </c>
      <c r="L34" s="46"/>
      <c r="M34" s="45">
        <f>L32/I34</f>
        <v>31630.217075351105</v>
      </c>
      <c r="N34" s="42">
        <f t="shared" si="5"/>
        <v>0.14669516775513605</v>
      </c>
      <c r="O34" s="43">
        <f t="shared" si="6"/>
        <v>894.51761275098897</v>
      </c>
    </row>
    <row r="35" spans="1:15" x14ac:dyDescent="0.3">
      <c r="A35" s="38">
        <v>3.5</v>
      </c>
      <c r="B35" s="38">
        <v>-3.5</v>
      </c>
      <c r="C35" s="51">
        <v>-3.1345318488112999</v>
      </c>
      <c r="D35" s="51">
        <v>2.79480244390597</v>
      </c>
      <c r="E35" s="40">
        <f t="shared" si="15"/>
        <v>6.6345318488112994</v>
      </c>
      <c r="F35" s="41">
        <f t="shared" si="16"/>
        <v>0.70519755609403001</v>
      </c>
      <c r="G35" s="38">
        <v>100</v>
      </c>
      <c r="H35" s="42">
        <v>100000</v>
      </c>
      <c r="I35" s="42">
        <f t="shared" si="17"/>
        <v>3.6546815118870014E-3</v>
      </c>
      <c r="J35" s="42">
        <f t="shared" si="18"/>
        <v>2.7948024439059701E-5</v>
      </c>
      <c r="K35" s="43">
        <f t="shared" si="0"/>
        <v>130.76707871985678</v>
      </c>
      <c r="L35" s="46"/>
      <c r="M35" s="45">
        <f>L32/I35</f>
        <v>31740.111860008936</v>
      </c>
      <c r="N35" s="42">
        <f t="shared" si="5"/>
        <v>0.14618726047548006</v>
      </c>
      <c r="O35" s="43">
        <f t="shared" si="6"/>
        <v>894.51760908940707</v>
      </c>
    </row>
    <row r="36" spans="1:15" x14ac:dyDescent="0.3">
      <c r="A36" s="38">
        <v>3.5</v>
      </c>
      <c r="B36" s="38">
        <v>-3</v>
      </c>
      <c r="C36" s="51">
        <v>-2.6358016062131302</v>
      </c>
      <c r="D36" s="51">
        <v>2.7948024354740402</v>
      </c>
      <c r="E36" s="40">
        <f t="shared" si="15"/>
        <v>6.1358016062131302</v>
      </c>
      <c r="F36" s="41">
        <f t="shared" si="16"/>
        <v>0.70519756452595983</v>
      </c>
      <c r="G36" s="38">
        <v>100</v>
      </c>
      <c r="H36" s="42">
        <v>100000</v>
      </c>
      <c r="I36" s="42">
        <f t="shared" si="17"/>
        <v>3.6419839378686982E-3</v>
      </c>
      <c r="J36" s="42">
        <f t="shared" si="18"/>
        <v>2.7948024354740403E-5</v>
      </c>
      <c r="K36" s="43">
        <f t="shared" si="0"/>
        <v>130.31275097092734</v>
      </c>
      <c r="L36" s="46"/>
      <c r="M36" s="45">
        <f>L32/I36</f>
        <v>31850.771991016416</v>
      </c>
      <c r="N36" s="42">
        <f t="shared" si="5"/>
        <v>0.14567935751474792</v>
      </c>
      <c r="O36" s="43">
        <f t="shared" si="6"/>
        <v>894.51761178817014</v>
      </c>
    </row>
    <row r="37" spans="1:15" x14ac:dyDescent="0.3">
      <c r="A37" s="38">
        <v>3.5</v>
      </c>
      <c r="B37" s="38">
        <v>-2.5</v>
      </c>
      <c r="C37" s="51">
        <v>-2.1370713744235701</v>
      </c>
      <c r="D37" s="51">
        <v>2.7948024467952401</v>
      </c>
      <c r="E37" s="40">
        <f t="shared" si="15"/>
        <v>5.6370713744235701</v>
      </c>
      <c r="F37" s="41">
        <f t="shared" si="16"/>
        <v>0.70519755320475985</v>
      </c>
      <c r="G37" s="38">
        <v>100</v>
      </c>
      <c r="H37" s="42">
        <v>100000</v>
      </c>
      <c r="I37" s="42">
        <f t="shared" si="17"/>
        <v>3.6292862557642993E-3</v>
      </c>
      <c r="J37" s="42">
        <f t="shared" si="18"/>
        <v>2.7948024467952401E-5</v>
      </c>
      <c r="K37" s="43">
        <f t="shared" si="0"/>
        <v>129.85841843404529</v>
      </c>
      <c r="L37" s="46"/>
      <c r="M37" s="45">
        <f>L32/I37</f>
        <v>31962.207394294201</v>
      </c>
      <c r="N37" s="42">
        <f t="shared" si="5"/>
        <v>0.14517145023057196</v>
      </c>
      <c r="O37" s="43">
        <f t="shared" si="6"/>
        <v>894.51760816465378</v>
      </c>
    </row>
    <row r="38" spans="1:15" x14ac:dyDescent="0.3">
      <c r="A38" s="38">
        <v>3.5</v>
      </c>
      <c r="B38" s="38">
        <v>-2</v>
      </c>
      <c r="C38" s="51">
        <v>-1.63834113190091</v>
      </c>
      <c r="D38" s="51">
        <v>2.79480243824456</v>
      </c>
      <c r="E38" s="40">
        <f t="shared" si="15"/>
        <v>5.1383411319009102</v>
      </c>
      <c r="F38" s="41">
        <f t="shared" si="16"/>
        <v>0.70519756175544002</v>
      </c>
      <c r="G38" s="38">
        <v>100</v>
      </c>
      <c r="H38" s="42">
        <v>100000</v>
      </c>
      <c r="I38" s="42">
        <f t="shared" si="17"/>
        <v>3.6165886809909E-3</v>
      </c>
      <c r="J38" s="42">
        <f t="shared" si="18"/>
        <v>2.7948024382445601E-5</v>
      </c>
      <c r="K38" s="43">
        <f t="shared" si="0"/>
        <v>129.40409066132457</v>
      </c>
      <c r="L38" s="46"/>
      <c r="M38" s="45">
        <f>L32/I38</f>
        <v>32074.424335204592</v>
      </c>
      <c r="N38" s="42">
        <f t="shared" si="5"/>
        <v>0.14466354723963598</v>
      </c>
      <c r="O38" s="43">
        <f t="shared" si="6"/>
        <v>894.51761090142463</v>
      </c>
    </row>
    <row r="39" spans="1:15" x14ac:dyDescent="0.3">
      <c r="A39" s="38">
        <v>3.5</v>
      </c>
      <c r="B39" s="38">
        <v>-1.5</v>
      </c>
      <c r="C39" s="51">
        <v>-1.1396108999869701</v>
      </c>
      <c r="D39" s="51">
        <v>2.7948024496845298</v>
      </c>
      <c r="E39" s="40">
        <f t="shared" si="15"/>
        <v>4.6396108999869696</v>
      </c>
      <c r="F39" s="41">
        <f t="shared" si="16"/>
        <v>0.70519755031547016</v>
      </c>
      <c r="G39" s="38">
        <v>100</v>
      </c>
      <c r="H39" s="42">
        <v>100000</v>
      </c>
      <c r="I39" s="42">
        <f t="shared" si="17"/>
        <v>3.6038910001302991E-3</v>
      </c>
      <c r="J39" s="42">
        <f t="shared" si="18"/>
        <v>2.7948024496845298E-5</v>
      </c>
      <c r="K39" s="43">
        <f t="shared" si="0"/>
        <v>128.94975816759776</v>
      </c>
      <c r="L39" s="46"/>
      <c r="M39" s="45">
        <f>L32/I39</f>
        <v>32187.432970588179</v>
      </c>
      <c r="N39" s="42">
        <f t="shared" si="5"/>
        <v>0.14415564000521194</v>
      </c>
      <c r="O39" s="43">
        <f t="shared" si="6"/>
        <v>894.51760723989412</v>
      </c>
    </row>
    <row r="40" spans="1:15" x14ac:dyDescent="0.3">
      <c r="A40" s="38">
        <v>3.5</v>
      </c>
      <c r="B40" s="38">
        <v>-1</v>
      </c>
      <c r="C40" s="51">
        <v>-0.64088065740487099</v>
      </c>
      <c r="D40" s="51">
        <v>2.7948024412527199</v>
      </c>
      <c r="E40" s="40">
        <f t="shared" si="15"/>
        <v>4.1408806574048711</v>
      </c>
      <c r="F40" s="41">
        <f t="shared" si="16"/>
        <v>0.70519755874728007</v>
      </c>
      <c r="G40" s="38">
        <v>100</v>
      </c>
      <c r="H40" s="42">
        <v>100000</v>
      </c>
      <c r="I40" s="42">
        <f t="shared" si="17"/>
        <v>3.5911934259512902E-3</v>
      </c>
      <c r="J40" s="42">
        <f t="shared" si="18"/>
        <v>2.79480244125272E-5</v>
      </c>
      <c r="K40" s="43">
        <f t="shared" si="0"/>
        <v>128.49543040836912</v>
      </c>
      <c r="L40" s="46"/>
      <c r="M40" s="45">
        <f>L32/I40</f>
        <v>32301.239794476442</v>
      </c>
      <c r="N40" s="42">
        <f t="shared" si="5"/>
        <v>0.14364773703805159</v>
      </c>
      <c r="O40" s="43">
        <f t="shared" si="6"/>
        <v>894.51760993861876</v>
      </c>
    </row>
    <row r="41" spans="1:15" x14ac:dyDescent="0.3">
      <c r="A41" s="38">
        <v>3.5</v>
      </c>
      <c r="B41" s="38">
        <v>-0.5</v>
      </c>
      <c r="C41" s="51">
        <v>-0.142150425501574</v>
      </c>
      <c r="D41" s="51">
        <v>2.7948024525738502</v>
      </c>
      <c r="E41" s="40">
        <f t="shared" si="15"/>
        <v>3.642150425501574</v>
      </c>
      <c r="F41" s="41">
        <f t="shared" si="16"/>
        <v>0.70519754742614982</v>
      </c>
      <c r="G41" s="38">
        <v>100</v>
      </c>
      <c r="H41" s="42">
        <v>100000</v>
      </c>
      <c r="I41" s="42">
        <f t="shared" si="17"/>
        <v>3.5784957449842602E-3</v>
      </c>
      <c r="J41" s="42">
        <f t="shared" si="18"/>
        <v>2.7948024525738503E-5</v>
      </c>
      <c r="K41" s="43">
        <f t="shared" si="0"/>
        <v>128.04109792048715</v>
      </c>
      <c r="L41" s="46"/>
      <c r="M41" s="45">
        <f>L32/I41</f>
        <v>32415.855227043234</v>
      </c>
      <c r="N41" s="42">
        <f t="shared" si="5"/>
        <v>0.1431398297993704</v>
      </c>
      <c r="O41" s="43">
        <f t="shared" si="6"/>
        <v>894.51760631512457</v>
      </c>
    </row>
    <row r="42" spans="1:15" x14ac:dyDescent="0.3">
      <c r="A42" s="11">
        <v>3</v>
      </c>
      <c r="B42" s="11">
        <v>-5</v>
      </c>
      <c r="C42" s="48">
        <v>-4.6968182017567797</v>
      </c>
      <c r="D42" s="48">
        <v>2.30204645587339</v>
      </c>
      <c r="E42" s="13">
        <f>A42-C42</f>
        <v>7.6968182017567797</v>
      </c>
      <c r="F42" s="14">
        <f>A42-D42</f>
        <v>0.69795354412661004</v>
      </c>
      <c r="G42" s="11">
        <v>100</v>
      </c>
      <c r="H42" s="15">
        <v>100000</v>
      </c>
      <c r="I42" s="15">
        <f>(C42-B42)/G42</f>
        <v>3.0318179824322033E-3</v>
      </c>
      <c r="J42" s="15">
        <f>(D42-0)/H42</f>
        <v>2.3020464558733899E-5</v>
      </c>
      <c r="K42" s="16">
        <f t="shared" si="0"/>
        <v>131.70099042514502</v>
      </c>
      <c r="L42" s="17">
        <v>145</v>
      </c>
      <c r="M42" s="18">
        <f>L42/I42</f>
        <v>47826.090101780195</v>
      </c>
      <c r="N42" s="15">
        <f t="shared" si="5"/>
        <v>0.12127271929728813</v>
      </c>
      <c r="O42" s="16">
        <f t="shared" si="6"/>
        <v>1085.9902473390821</v>
      </c>
    </row>
    <row r="43" spans="1:15" x14ac:dyDescent="0.3">
      <c r="A43" s="11">
        <v>3</v>
      </c>
      <c r="B43" s="11">
        <v>-4.5</v>
      </c>
      <c r="C43" s="48">
        <v>-4.1978628518535199</v>
      </c>
      <c r="D43" s="48">
        <v>2.30204645713403</v>
      </c>
      <c r="E43" s="13">
        <f t="shared" ref="E43:E51" si="19">A43-C43</f>
        <v>7.1978628518535199</v>
      </c>
      <c r="F43" s="14">
        <f t="shared" ref="F43:F51" si="20">A43-D43</f>
        <v>0.69795354286597</v>
      </c>
      <c r="G43" s="11">
        <v>100</v>
      </c>
      <c r="H43" s="15">
        <v>100000</v>
      </c>
      <c r="I43" s="15">
        <f t="shared" ref="I43:I51" si="21">(C43-B43)/G43</f>
        <v>3.0213714814648009E-3</v>
      </c>
      <c r="J43" s="15">
        <f t="shared" ref="J43:J51" si="22">(D43-0)/H43</f>
        <v>2.30204645713403E-5</v>
      </c>
      <c r="K43" s="16">
        <f t="shared" si="0"/>
        <v>131.24719842649509</v>
      </c>
      <c r="L43" s="47"/>
      <c r="M43" s="18">
        <f>L42/I43</f>
        <v>47991.450534808806</v>
      </c>
      <c r="N43" s="15">
        <f t="shared" si="5"/>
        <v>0.12085485925859203</v>
      </c>
      <c r="O43" s="16">
        <f t="shared" si="6"/>
        <v>1085.9902467443753</v>
      </c>
    </row>
    <row r="44" spans="1:15" x14ac:dyDescent="0.3">
      <c r="A44" s="11">
        <v>3</v>
      </c>
      <c r="B44" s="11">
        <v>-4</v>
      </c>
      <c r="C44" s="48">
        <v>-3.6989075019356199</v>
      </c>
      <c r="D44" s="48">
        <v>2.3020464583942202</v>
      </c>
      <c r="E44" s="13">
        <f t="shared" si="19"/>
        <v>6.6989075019356203</v>
      </c>
      <c r="F44" s="14">
        <f t="shared" si="20"/>
        <v>0.69795354160577983</v>
      </c>
      <c r="G44" s="11">
        <v>100</v>
      </c>
      <c r="H44" s="15">
        <v>100000</v>
      </c>
      <c r="I44" s="15">
        <f t="shared" si="21"/>
        <v>3.0109249806438009E-3</v>
      </c>
      <c r="J44" s="15">
        <f t="shared" si="22"/>
        <v>2.3020464583942202E-5</v>
      </c>
      <c r="K44" s="16">
        <f t="shared" si="0"/>
        <v>130.79340643472742</v>
      </c>
      <c r="L44" s="47"/>
      <c r="M44" s="18">
        <f>L42/I44</f>
        <v>48157.958412167369</v>
      </c>
      <c r="N44" s="15">
        <f t="shared" si="5"/>
        <v>0.12043699922575203</v>
      </c>
      <c r="O44" s="16">
        <f t="shared" si="6"/>
        <v>1085.9902461498807</v>
      </c>
    </row>
    <row r="45" spans="1:15" x14ac:dyDescent="0.3">
      <c r="A45" s="11">
        <v>3</v>
      </c>
      <c r="B45" s="11">
        <v>-3.5</v>
      </c>
      <c r="C45" s="48">
        <v>-3.1999521520060199</v>
      </c>
      <c r="D45" s="48">
        <v>2.3020464596543202</v>
      </c>
      <c r="E45" s="13">
        <f t="shared" si="19"/>
        <v>6.1999521520060199</v>
      </c>
      <c r="F45" s="14">
        <f t="shared" si="20"/>
        <v>0.6979535403456798</v>
      </c>
      <c r="G45" s="11">
        <v>100</v>
      </c>
      <c r="H45" s="15">
        <v>100000</v>
      </c>
      <c r="I45" s="15">
        <f t="shared" si="21"/>
        <v>3.000478479939801E-3</v>
      </c>
      <c r="J45" s="15">
        <f t="shared" si="22"/>
        <v>2.3020464596543203E-5</v>
      </c>
      <c r="K45" s="16">
        <f t="shared" si="0"/>
        <v>130.33961444854413</v>
      </c>
      <c r="L45" s="47"/>
      <c r="M45" s="18">
        <f>L42/I45</f>
        <v>48325.62571917168</v>
      </c>
      <c r="N45" s="15">
        <f t="shared" si="5"/>
        <v>0.12001913919759204</v>
      </c>
      <c r="O45" s="16">
        <f t="shared" si="6"/>
        <v>1085.9902455554286</v>
      </c>
    </row>
    <row r="46" spans="1:15" x14ac:dyDescent="0.3">
      <c r="A46" s="11">
        <v>3</v>
      </c>
      <c r="B46" s="11">
        <v>-3</v>
      </c>
      <c r="C46" s="48">
        <v>-2.7009968020635098</v>
      </c>
      <c r="D46" s="48">
        <v>2.3020464609141702</v>
      </c>
      <c r="E46" s="13">
        <f t="shared" si="19"/>
        <v>5.7009968020635098</v>
      </c>
      <c r="F46" s="14">
        <f t="shared" si="20"/>
        <v>0.6979535390858298</v>
      </c>
      <c r="G46" s="11">
        <v>100</v>
      </c>
      <c r="H46" s="15">
        <v>100000</v>
      </c>
      <c r="I46" s="15">
        <f t="shared" si="21"/>
        <v>2.9900319793649023E-3</v>
      </c>
      <c r="J46" s="15">
        <f t="shared" si="22"/>
        <v>2.3020464609141703E-5</v>
      </c>
      <c r="K46" s="16">
        <f t="shared" si="0"/>
        <v>129.88582246847983</v>
      </c>
      <c r="L46" s="47"/>
      <c r="M46" s="18">
        <f>L42/I46</f>
        <v>48494.464607966744</v>
      </c>
      <c r="N46" s="15">
        <f t="shared" si="5"/>
        <v>0.11960127917459609</v>
      </c>
      <c r="O46" s="16">
        <f t="shared" si="6"/>
        <v>1085.9902449610943</v>
      </c>
    </row>
    <row r="47" spans="1:15" x14ac:dyDescent="0.3">
      <c r="A47" s="11">
        <v>3</v>
      </c>
      <c r="B47" s="11">
        <v>-2.5</v>
      </c>
      <c r="C47" s="48">
        <v>-2.2020414521076899</v>
      </c>
      <c r="D47" s="48">
        <v>2.3020464621737302</v>
      </c>
      <c r="E47" s="13">
        <f t="shared" si="19"/>
        <v>5.2020414521076894</v>
      </c>
      <c r="F47" s="14">
        <f t="shared" si="20"/>
        <v>0.69795353782626979</v>
      </c>
      <c r="G47" s="11">
        <v>100</v>
      </c>
      <c r="H47" s="15">
        <v>100000</v>
      </c>
      <c r="I47" s="15">
        <f t="shared" si="21"/>
        <v>2.9795854789231011E-3</v>
      </c>
      <c r="J47" s="15">
        <f t="shared" si="22"/>
        <v>2.3020464621737304E-5</v>
      </c>
      <c r="K47" s="16">
        <f t="shared" si="0"/>
        <v>129.43203049471026</v>
      </c>
      <c r="L47" s="47"/>
      <c r="M47" s="18">
        <f>L42/I47</f>
        <v>48664.487401249768</v>
      </c>
      <c r="N47" s="15">
        <f t="shared" si="5"/>
        <v>0.11918341915692404</v>
      </c>
      <c r="O47" s="16">
        <f t="shared" si="6"/>
        <v>1085.9902443668971</v>
      </c>
    </row>
    <row r="48" spans="1:15" x14ac:dyDescent="0.3">
      <c r="A48" s="11">
        <v>3</v>
      </c>
      <c r="B48" s="11">
        <v>-2</v>
      </c>
      <c r="C48" s="48">
        <v>-1.7030861021422501</v>
      </c>
      <c r="D48" s="48">
        <v>2.3020464634334501</v>
      </c>
      <c r="E48" s="13">
        <f t="shared" si="19"/>
        <v>4.7030861021422501</v>
      </c>
      <c r="F48" s="14">
        <f t="shared" si="20"/>
        <v>0.6979535365665499</v>
      </c>
      <c r="G48" s="11">
        <v>100</v>
      </c>
      <c r="H48" s="15">
        <v>100000</v>
      </c>
      <c r="I48" s="15">
        <f t="shared" si="21"/>
        <v>2.9691389785774991E-3</v>
      </c>
      <c r="J48" s="15">
        <f t="shared" si="22"/>
        <v>2.30204646343345E-5</v>
      </c>
      <c r="K48" s="16">
        <f t="shared" si="0"/>
        <v>128.97823852560717</v>
      </c>
      <c r="L48" s="47"/>
      <c r="M48" s="18">
        <f>L42/I48</f>
        <v>48835.706595812109</v>
      </c>
      <c r="N48" s="15">
        <f t="shared" si="5"/>
        <v>0.11876555914309996</v>
      </c>
      <c r="O48" s="16">
        <f t="shared" si="6"/>
        <v>1085.9902437726244</v>
      </c>
    </row>
    <row r="49" spans="1:15" x14ac:dyDescent="0.3">
      <c r="A49" s="11">
        <v>3</v>
      </c>
      <c r="B49" s="11">
        <v>-1.5</v>
      </c>
      <c r="C49" s="48">
        <v>-1.20413075216103</v>
      </c>
      <c r="D49" s="48">
        <v>2.3020464646925798</v>
      </c>
      <c r="E49" s="13">
        <f t="shared" si="19"/>
        <v>4.2041307521610296</v>
      </c>
      <c r="F49" s="14">
        <f t="shared" si="20"/>
        <v>0.69795353530742021</v>
      </c>
      <c r="G49" s="11">
        <v>100</v>
      </c>
      <c r="H49" s="15">
        <v>100000</v>
      </c>
      <c r="I49" s="15">
        <f t="shared" si="21"/>
        <v>2.9586924783896996E-3</v>
      </c>
      <c r="J49" s="15">
        <f t="shared" si="22"/>
        <v>2.3020464646925797E-5</v>
      </c>
      <c r="K49" s="16">
        <f t="shared" si="0"/>
        <v>128.52444656388852</v>
      </c>
      <c r="L49" s="47"/>
      <c r="M49" s="18">
        <f>L42/I49</f>
        <v>49008.134863315645</v>
      </c>
      <c r="N49" s="15">
        <f t="shared" si="5"/>
        <v>0.11834769913558797</v>
      </c>
      <c r="O49" s="16">
        <f t="shared" si="6"/>
        <v>1085.99024317863</v>
      </c>
    </row>
    <row r="50" spans="1:15" x14ac:dyDescent="0.3">
      <c r="A50" s="11">
        <v>3</v>
      </c>
      <c r="B50" s="11">
        <v>-1</v>
      </c>
      <c r="C50" s="48">
        <v>-0.70517540216761398</v>
      </c>
      <c r="D50" s="48">
        <v>2.30204646595155</v>
      </c>
      <c r="E50" s="13">
        <f t="shared" si="19"/>
        <v>3.705175402167614</v>
      </c>
      <c r="F50" s="14">
        <f t="shared" si="20"/>
        <v>0.69795353404844995</v>
      </c>
      <c r="G50" s="11">
        <v>100</v>
      </c>
      <c r="H50" s="15">
        <v>100000</v>
      </c>
      <c r="I50" s="15">
        <f t="shared" si="21"/>
        <v>2.9482459783238602E-3</v>
      </c>
      <c r="J50" s="15">
        <f t="shared" si="22"/>
        <v>2.3020464659515502E-5</v>
      </c>
      <c r="K50" s="16">
        <f t="shared" si="0"/>
        <v>128.07065460797307</v>
      </c>
      <c r="L50" s="47"/>
      <c r="M50" s="18">
        <f>L42/I50</f>
        <v>49181.785056630702</v>
      </c>
      <c r="N50" s="15">
        <f t="shared" si="5"/>
        <v>0.11792983913295441</v>
      </c>
      <c r="O50" s="16">
        <f t="shared" si="6"/>
        <v>1085.9902425847108</v>
      </c>
    </row>
    <row r="51" spans="1:15" x14ac:dyDescent="0.3">
      <c r="A51" s="11">
        <v>3</v>
      </c>
      <c r="B51" s="11">
        <v>-0.5</v>
      </c>
      <c r="C51" s="48">
        <v>-0.20622005216081199</v>
      </c>
      <c r="D51" s="48">
        <v>2.3020464672102099</v>
      </c>
      <c r="E51" s="13">
        <f t="shared" si="19"/>
        <v>3.2062200521608122</v>
      </c>
      <c r="F51" s="14">
        <f t="shared" si="20"/>
        <v>0.69795353278979011</v>
      </c>
      <c r="G51" s="11">
        <v>100</v>
      </c>
      <c r="H51" s="15">
        <v>100000</v>
      </c>
      <c r="I51" s="15">
        <f t="shared" si="21"/>
        <v>2.9377994783918804E-3</v>
      </c>
      <c r="J51" s="15">
        <f t="shared" si="22"/>
        <v>2.3020464672102099E-5</v>
      </c>
      <c r="K51" s="16">
        <f t="shared" si="0"/>
        <v>127.616862658386</v>
      </c>
      <c r="L51" s="47"/>
      <c r="M51" s="18">
        <f>L42/I51</f>
        <v>49356.670210647404</v>
      </c>
      <c r="N51" s="15">
        <f t="shared" si="5"/>
        <v>0.11751197913567521</v>
      </c>
      <c r="O51" s="16">
        <f t="shared" si="6"/>
        <v>1085.9902419909381</v>
      </c>
    </row>
    <row r="52" spans="1:15" x14ac:dyDescent="0.3">
      <c r="A52" s="20">
        <v>2.5</v>
      </c>
      <c r="B52" s="20">
        <v>-5</v>
      </c>
      <c r="C52" s="49">
        <v>-4.7629783433997801</v>
      </c>
      <c r="D52" s="49">
        <v>1.8110236992817199</v>
      </c>
      <c r="E52" s="22">
        <f>A52-C52</f>
        <v>7.2629783433997801</v>
      </c>
      <c r="F52" s="23">
        <f>A52-D52</f>
        <v>0.68897630071828009</v>
      </c>
      <c r="G52" s="20">
        <v>100</v>
      </c>
      <c r="H52" s="24">
        <v>100000</v>
      </c>
      <c r="I52" s="24">
        <f>(C52-B52)/G52</f>
        <v>2.3702165660021992E-3</v>
      </c>
      <c r="J52" s="24">
        <f>(D52-0)/H52</f>
        <v>1.8110236992817201E-5</v>
      </c>
      <c r="K52" s="25">
        <f t="shared" si="0"/>
        <v>130.87717001949028</v>
      </c>
      <c r="L52" s="26">
        <v>115</v>
      </c>
      <c r="M52" s="27">
        <f>L52/I52</f>
        <v>48518.7731996863</v>
      </c>
      <c r="N52" s="24">
        <f t="shared" si="5"/>
        <v>9.4808662640087957E-2</v>
      </c>
      <c r="O52" s="25">
        <f t="shared" si="6"/>
        <v>1380.4347237374855</v>
      </c>
    </row>
    <row r="53" spans="1:15" x14ac:dyDescent="0.3">
      <c r="A53" s="20">
        <v>2.5</v>
      </c>
      <c r="B53" s="20">
        <v>-4.5</v>
      </c>
      <c r="C53" s="49">
        <v>-4.2637964532722101</v>
      </c>
      <c r="D53" s="49">
        <v>1.8110237003866501</v>
      </c>
      <c r="E53" s="22">
        <f t="shared" ref="E53:E61" si="23">A53-C53</f>
        <v>6.7637964532722101</v>
      </c>
      <c r="F53" s="23">
        <f t="shared" ref="F53:F61" si="24">A53-D53</f>
        <v>0.68897629961334994</v>
      </c>
      <c r="G53" s="20">
        <v>100</v>
      </c>
      <c r="H53" s="24">
        <v>100000</v>
      </c>
      <c r="I53" s="24">
        <f t="shared" ref="I53:I61" si="25">(C53-B53)/G53</f>
        <v>2.3620354672778988E-3</v>
      </c>
      <c r="J53" s="24">
        <f t="shared" ref="J53:J61" si="26">(D53-0)/H53</f>
        <v>1.8110237003866501E-5</v>
      </c>
      <c r="K53" s="25">
        <f t="shared" si="0"/>
        <v>130.42543102962202</v>
      </c>
      <c r="L53" s="28"/>
      <c r="M53" s="27">
        <f>L52/I53</f>
        <v>48686.821850533197</v>
      </c>
      <c r="N53" s="24">
        <f t="shared" si="5"/>
        <v>9.4481418691115954E-2</v>
      </c>
      <c r="O53" s="25">
        <f t="shared" si="6"/>
        <v>1380.4347228952636</v>
      </c>
    </row>
    <row r="54" spans="1:15" x14ac:dyDescent="0.3">
      <c r="A54" s="20">
        <v>2.5</v>
      </c>
      <c r="B54" s="20">
        <v>-4</v>
      </c>
      <c r="C54" s="49">
        <v>-3.7646145631304</v>
      </c>
      <c r="D54" s="49">
        <v>1.8110237014734201</v>
      </c>
      <c r="E54" s="22">
        <f t="shared" si="23"/>
        <v>6.2646145631304</v>
      </c>
      <c r="F54" s="23">
        <f t="shared" si="24"/>
        <v>0.68897629852657993</v>
      </c>
      <c r="G54" s="20">
        <v>100</v>
      </c>
      <c r="H54" s="24">
        <v>100000</v>
      </c>
      <c r="I54" s="24">
        <f t="shared" si="25"/>
        <v>2.3538543686960002E-3</v>
      </c>
      <c r="J54" s="24">
        <f t="shared" si="26"/>
        <v>1.8110237014734202E-5</v>
      </c>
      <c r="K54" s="25">
        <f t="shared" si="0"/>
        <v>129.97369204947134</v>
      </c>
      <c r="L54" s="28"/>
      <c r="M54" s="27">
        <f>L52/I54</f>
        <v>48856.038644271888</v>
      </c>
      <c r="N54" s="24">
        <f t="shared" si="5"/>
        <v>9.4154174747840005E-2</v>
      </c>
      <c r="O54" s="25">
        <f t="shared" si="6"/>
        <v>1380.434722066884</v>
      </c>
    </row>
    <row r="55" spans="1:15" x14ac:dyDescent="0.3">
      <c r="A55" s="20">
        <v>2.5</v>
      </c>
      <c r="B55" s="20">
        <v>-3.5</v>
      </c>
      <c r="C55" s="49">
        <v>-3.2654326729759</v>
      </c>
      <c r="D55" s="49">
        <v>1.81102370254226</v>
      </c>
      <c r="E55" s="22">
        <f t="shared" si="23"/>
        <v>5.7654326729758996</v>
      </c>
      <c r="F55" s="23">
        <f t="shared" si="24"/>
        <v>0.68897629745774003</v>
      </c>
      <c r="G55" s="20">
        <v>100</v>
      </c>
      <c r="H55" s="24">
        <v>100000</v>
      </c>
      <c r="I55" s="24">
        <f t="shared" si="25"/>
        <v>2.3456732702410001E-3</v>
      </c>
      <c r="J55" s="24">
        <f t="shared" si="26"/>
        <v>1.8110237025422599E-5</v>
      </c>
      <c r="K55" s="25">
        <f t="shared" si="0"/>
        <v>129.52195307815217</v>
      </c>
      <c r="L55" s="28"/>
      <c r="M55" s="27">
        <f>L52/I55</f>
        <v>49026.435803731787</v>
      </c>
      <c r="N55" s="24">
        <f t="shared" si="5"/>
        <v>9.3826930809639997E-2</v>
      </c>
      <c r="O55" s="25">
        <f t="shared" si="6"/>
        <v>1380.4347212521716</v>
      </c>
    </row>
    <row r="56" spans="1:15" x14ac:dyDescent="0.3">
      <c r="A56" s="20">
        <v>2.5</v>
      </c>
      <c r="B56" s="20">
        <v>-3</v>
      </c>
      <c r="C56" s="49">
        <v>-2.7662507828058001</v>
      </c>
      <c r="D56" s="49">
        <v>1.8110237035927199</v>
      </c>
      <c r="E56" s="22">
        <f t="shared" si="23"/>
        <v>5.2662507828058001</v>
      </c>
      <c r="F56" s="23">
        <f t="shared" si="24"/>
        <v>0.68897629640728009</v>
      </c>
      <c r="G56" s="20">
        <v>100</v>
      </c>
      <c r="H56" s="24">
        <v>100000</v>
      </c>
      <c r="I56" s="24">
        <f t="shared" si="25"/>
        <v>2.3374921719419993E-3</v>
      </c>
      <c r="J56" s="24">
        <f t="shared" si="26"/>
        <v>1.81102370359272E-5</v>
      </c>
      <c r="K56" s="25">
        <f t="shared" si="0"/>
        <v>129.07021411729002</v>
      </c>
      <c r="L56" s="28"/>
      <c r="M56" s="27">
        <f>L52/I56</f>
        <v>49198.025721924649</v>
      </c>
      <c r="N56" s="24">
        <f t="shared" si="5"/>
        <v>9.3499686877679969E-2</v>
      </c>
      <c r="O56" s="25">
        <f t="shared" si="6"/>
        <v>1380.4347204514688</v>
      </c>
    </row>
    <row r="57" spans="1:15" x14ac:dyDescent="0.3">
      <c r="A57" s="20">
        <v>2.5</v>
      </c>
      <c r="B57" s="20">
        <v>-2.5</v>
      </c>
      <c r="C57" s="49">
        <v>-2.2670688926234801</v>
      </c>
      <c r="D57" s="49">
        <v>1.8110237046253299</v>
      </c>
      <c r="E57" s="22">
        <f t="shared" si="23"/>
        <v>4.7670688926234801</v>
      </c>
      <c r="F57" s="23">
        <f t="shared" si="24"/>
        <v>0.68897629537467009</v>
      </c>
      <c r="G57" s="20">
        <v>100</v>
      </c>
      <c r="H57" s="24">
        <v>100000</v>
      </c>
      <c r="I57" s="24">
        <f t="shared" si="25"/>
        <v>2.329311073765199E-3</v>
      </c>
      <c r="J57" s="24">
        <f t="shared" si="26"/>
        <v>1.8110237046253301E-5</v>
      </c>
      <c r="K57" s="25">
        <f t="shared" si="0"/>
        <v>128.61847516496718</v>
      </c>
      <c r="L57" s="28"/>
      <c r="M57" s="27">
        <f>L52/I57</f>
        <v>49370.820967295294</v>
      </c>
      <c r="N57" s="24">
        <f t="shared" si="5"/>
        <v>9.3172442950607948E-2</v>
      </c>
      <c r="O57" s="25">
        <f t="shared" si="6"/>
        <v>1380.4347196643721</v>
      </c>
    </row>
    <row r="58" spans="1:15" x14ac:dyDescent="0.3">
      <c r="A58" s="20">
        <v>2.5</v>
      </c>
      <c r="B58" s="20">
        <v>-2</v>
      </c>
      <c r="C58" s="49">
        <v>-1.76788700242634</v>
      </c>
      <c r="D58" s="49">
        <v>1.8110237056396801</v>
      </c>
      <c r="E58" s="22">
        <f t="shared" si="23"/>
        <v>4.26788700242634</v>
      </c>
      <c r="F58" s="23">
        <f t="shared" si="24"/>
        <v>0.68897629436031993</v>
      </c>
      <c r="G58" s="20">
        <v>100</v>
      </c>
      <c r="H58" s="24">
        <v>100000</v>
      </c>
      <c r="I58" s="24">
        <f t="shared" si="25"/>
        <v>2.3211299757365999E-3</v>
      </c>
      <c r="J58" s="24">
        <f t="shared" si="26"/>
        <v>1.8110237056396801E-5</v>
      </c>
      <c r="K58" s="25">
        <f t="shared" si="0"/>
        <v>128.16673622263508</v>
      </c>
      <c r="L58" s="28"/>
      <c r="M58" s="27">
        <f>L52/I58</f>
        <v>49544.834284217657</v>
      </c>
      <c r="N58" s="24">
        <f t="shared" si="5"/>
        <v>9.284519902946399E-2</v>
      </c>
      <c r="O58" s="25">
        <f t="shared" si="6"/>
        <v>1380.4347188911938</v>
      </c>
    </row>
    <row r="59" spans="1:15" x14ac:dyDescent="0.3">
      <c r="A59" s="20">
        <v>2.5</v>
      </c>
      <c r="B59" s="20">
        <v>-1.5</v>
      </c>
      <c r="C59" s="49">
        <v>-1.2687051122161701</v>
      </c>
      <c r="D59" s="49">
        <v>1.8110237066360499</v>
      </c>
      <c r="E59" s="22">
        <f t="shared" si="23"/>
        <v>3.7687051122161703</v>
      </c>
      <c r="F59" s="23">
        <f t="shared" si="24"/>
        <v>0.68897629336395005</v>
      </c>
      <c r="G59" s="20">
        <v>100</v>
      </c>
      <c r="H59" s="24">
        <v>100000</v>
      </c>
      <c r="I59" s="24">
        <f t="shared" si="25"/>
        <v>2.312948877838299E-3</v>
      </c>
      <c r="J59" s="24">
        <f t="shared" si="26"/>
        <v>1.8110237066360501E-5</v>
      </c>
      <c r="K59" s="25">
        <f t="shared" si="0"/>
        <v>127.71499728927169</v>
      </c>
      <c r="L59" s="28"/>
      <c r="M59" s="27">
        <f>L52/I59</f>
        <v>49720.078598312968</v>
      </c>
      <c r="N59" s="24">
        <f t="shared" si="5"/>
        <v>9.2517955113531961E-2</v>
      </c>
      <c r="O59" s="25">
        <f t="shared" si="6"/>
        <v>1380.434718131721</v>
      </c>
    </row>
    <row r="60" spans="1:15" x14ac:dyDescent="0.3">
      <c r="A60" s="20">
        <v>2.5</v>
      </c>
      <c r="B60" s="20">
        <v>-1</v>
      </c>
      <c r="C60" s="49">
        <v>-0.76952322199184797</v>
      </c>
      <c r="D60" s="49">
        <v>1.8110237076142599</v>
      </c>
      <c r="E60" s="22">
        <f t="shared" si="23"/>
        <v>3.269523221991848</v>
      </c>
      <c r="F60" s="23">
        <f t="shared" si="24"/>
        <v>0.6889762923857401</v>
      </c>
      <c r="G60" s="20">
        <v>100</v>
      </c>
      <c r="H60" s="24">
        <v>100000</v>
      </c>
      <c r="I60" s="24">
        <f t="shared" si="25"/>
        <v>2.3047677800815203E-3</v>
      </c>
      <c r="J60" s="24">
        <f t="shared" si="26"/>
        <v>1.81102370761426E-5</v>
      </c>
      <c r="K60" s="25">
        <f t="shared" si="0"/>
        <v>127.26325836549599</v>
      </c>
      <c r="L60" s="28"/>
      <c r="M60" s="27">
        <f>L52/I60</f>
        <v>49896.567018102105</v>
      </c>
      <c r="N60" s="24">
        <f t="shared" si="5"/>
        <v>9.2190711203260806E-2</v>
      </c>
      <c r="O60" s="25">
        <f t="shared" si="6"/>
        <v>1380.4347173860901</v>
      </c>
    </row>
    <row r="61" spans="1:15" x14ac:dyDescent="0.3">
      <c r="A61" s="20">
        <v>2.5</v>
      </c>
      <c r="B61" s="20">
        <v>-0.5</v>
      </c>
      <c r="C61" s="49">
        <v>-0.27034133175272101</v>
      </c>
      <c r="D61" s="49">
        <v>1.81102370857421</v>
      </c>
      <c r="E61" s="22">
        <f t="shared" si="23"/>
        <v>2.770341331752721</v>
      </c>
      <c r="F61" s="23">
        <f t="shared" si="24"/>
        <v>0.68897629142578998</v>
      </c>
      <c r="G61" s="20">
        <v>100</v>
      </c>
      <c r="H61" s="24">
        <v>100000</v>
      </c>
      <c r="I61" s="24">
        <f t="shared" si="25"/>
        <v>2.2965866824727899E-3</v>
      </c>
      <c r="J61" s="24">
        <f t="shared" si="26"/>
        <v>1.8110237085742099E-5</v>
      </c>
      <c r="K61" s="25">
        <f t="shared" si="0"/>
        <v>126.81151945166174</v>
      </c>
      <c r="L61" s="28"/>
      <c r="M61" s="27">
        <f>L52/I61</f>
        <v>50074.31283898971</v>
      </c>
      <c r="N61" s="24">
        <f t="shared" si="5"/>
        <v>9.1863467298911594E-2</v>
      </c>
      <c r="O61" s="25">
        <f t="shared" si="6"/>
        <v>1380.434716654378</v>
      </c>
    </row>
    <row r="62" spans="1:15" x14ac:dyDescent="0.3">
      <c r="A62" s="29">
        <v>2</v>
      </c>
      <c r="B62" s="29">
        <v>-5</v>
      </c>
      <c r="C62" s="50">
        <v>-4.8288746520526802</v>
      </c>
      <c r="D62" s="50">
        <v>1.3228122210461</v>
      </c>
      <c r="E62" s="31">
        <f>A62-C62</f>
        <v>6.8288746520526802</v>
      </c>
      <c r="F62" s="32">
        <f>A62-D62</f>
        <v>0.67718777895390003</v>
      </c>
      <c r="G62" s="29">
        <v>100</v>
      </c>
      <c r="H62" s="33">
        <v>100000</v>
      </c>
      <c r="I62" s="33">
        <f>(C62-B62)/G62</f>
        <v>1.7112534794731982E-3</v>
      </c>
      <c r="J62" s="33">
        <f>(D62-0)/H62</f>
        <v>1.3228122210460999E-5</v>
      </c>
      <c r="K62" s="34">
        <f t="shared" si="0"/>
        <v>129.36480720747448</v>
      </c>
      <c r="L62" s="35">
        <v>160</v>
      </c>
      <c r="M62" s="36">
        <f>L62/I62</f>
        <v>93498.714199403868</v>
      </c>
      <c r="N62" s="33">
        <f t="shared" si="5"/>
        <v>6.8450139178927921E-2</v>
      </c>
      <c r="O62" s="34">
        <f t="shared" si="6"/>
        <v>1889.9129900863497</v>
      </c>
    </row>
    <row r="63" spans="1:15" x14ac:dyDescent="0.3">
      <c r="A63" s="29">
        <v>2</v>
      </c>
      <c r="B63" s="29">
        <v>-4.5</v>
      </c>
      <c r="C63" s="50">
        <v>-4.3294660250039403</v>
      </c>
      <c r="D63" s="50">
        <v>1.3228122229592001</v>
      </c>
      <c r="E63" s="31">
        <f t="shared" ref="E63:E71" si="27">A63-C63</f>
        <v>6.3294660250039403</v>
      </c>
      <c r="F63" s="32">
        <f t="shared" ref="F63:F71" si="28">A63-D63</f>
        <v>0.67718777704079991</v>
      </c>
      <c r="G63" s="29">
        <v>100</v>
      </c>
      <c r="H63" s="33">
        <v>100000</v>
      </c>
      <c r="I63" s="33">
        <f t="shared" ref="I63:I71" si="29">(C63-B63)/G63</f>
        <v>1.705339749960597E-3</v>
      </c>
      <c r="J63" s="33">
        <f t="shared" ref="J63:J71" si="30">(D63-0)/H63</f>
        <v>1.3228122229592E-5</v>
      </c>
      <c r="K63" s="34">
        <f t="shared" si="0"/>
        <v>128.91774965199997</v>
      </c>
      <c r="L63" s="37"/>
      <c r="M63" s="36">
        <f>L62/I63</f>
        <v>93822.946426773255</v>
      </c>
      <c r="N63" s="33">
        <f t="shared" si="5"/>
        <v>6.8213589998423876E-2</v>
      </c>
      <c r="O63" s="34">
        <f t="shared" si="6"/>
        <v>1889.9129873530874</v>
      </c>
    </row>
    <row r="64" spans="1:15" x14ac:dyDescent="0.3">
      <c r="A64" s="29">
        <v>2</v>
      </c>
      <c r="B64" s="29">
        <v>-4</v>
      </c>
      <c r="C64" s="50">
        <v>-3.8300573981316801</v>
      </c>
      <c r="D64" s="50">
        <v>1.3228122229914301</v>
      </c>
      <c r="E64" s="31">
        <f t="shared" si="27"/>
        <v>5.8300573981316806</v>
      </c>
      <c r="F64" s="32">
        <f t="shared" si="28"/>
        <v>0.67718777700856991</v>
      </c>
      <c r="G64" s="29">
        <v>100</v>
      </c>
      <c r="H64" s="33">
        <v>100000</v>
      </c>
      <c r="I64" s="33">
        <f t="shared" si="29"/>
        <v>1.6994260186831988E-3</v>
      </c>
      <c r="J64" s="33">
        <f t="shared" si="30"/>
        <v>1.3228122229914301E-5</v>
      </c>
      <c r="K64" s="34">
        <f t="shared" si="0"/>
        <v>128.47069214707494</v>
      </c>
      <c r="L64" s="37"/>
      <c r="M64" s="36">
        <f>L62/I64</f>
        <v>94149.435304030529</v>
      </c>
      <c r="N64" s="33">
        <f t="shared" si="5"/>
        <v>6.7977040747327952E-2</v>
      </c>
      <c r="O64" s="34">
        <f t="shared" si="6"/>
        <v>1889.9129873070401</v>
      </c>
    </row>
    <row r="65" spans="1:15" x14ac:dyDescent="0.3">
      <c r="A65" s="29">
        <v>2</v>
      </c>
      <c r="B65" s="29">
        <v>-3.5</v>
      </c>
      <c r="C65" s="50">
        <v>-3.3306487714350399</v>
      </c>
      <c r="D65" s="50">
        <v>1.32281222114273</v>
      </c>
      <c r="E65" s="31">
        <f t="shared" si="27"/>
        <v>5.3306487714350403</v>
      </c>
      <c r="F65" s="32">
        <f t="shared" si="28"/>
        <v>0.67718777885727</v>
      </c>
      <c r="G65" s="29">
        <v>100</v>
      </c>
      <c r="H65" s="33">
        <v>100000</v>
      </c>
      <c r="I65" s="33">
        <f t="shared" si="29"/>
        <v>1.6935122856496011E-3</v>
      </c>
      <c r="J65" s="33">
        <f t="shared" si="30"/>
        <v>1.3228122211427301E-5</v>
      </c>
      <c r="K65" s="34">
        <f t="shared" si="0"/>
        <v>128.02363469144822</v>
      </c>
      <c r="L65" s="37"/>
      <c r="M65" s="36">
        <f>L62/I65</f>
        <v>94478.204472326499</v>
      </c>
      <c r="N65" s="33">
        <f t="shared" si="5"/>
        <v>6.774049142598404E-2</v>
      </c>
      <c r="O65" s="34">
        <f t="shared" si="6"/>
        <v>1889.9129899482934</v>
      </c>
    </row>
    <row r="66" spans="1:15" x14ac:dyDescent="0.3">
      <c r="A66" s="29">
        <v>2</v>
      </c>
      <c r="B66" s="29">
        <v>-3</v>
      </c>
      <c r="C66" s="50">
        <v>-2.83124014491159</v>
      </c>
      <c r="D66" s="50">
        <v>1.3228122174126999</v>
      </c>
      <c r="E66" s="31">
        <f t="shared" si="27"/>
        <v>4.8312401449115896</v>
      </c>
      <c r="F66" s="32">
        <f t="shared" si="28"/>
        <v>0.67718778258730006</v>
      </c>
      <c r="G66" s="29">
        <v>100</v>
      </c>
      <c r="H66" s="33">
        <v>100000</v>
      </c>
      <c r="I66" s="33">
        <f t="shared" si="29"/>
        <v>1.6875985508840996E-3</v>
      </c>
      <c r="J66" s="33">
        <f t="shared" si="30"/>
        <v>1.3228122174126999E-5</v>
      </c>
      <c r="K66" s="34">
        <f t="shared" ref="K66:K91" si="31">I66/J66</f>
        <v>127.57657728508802</v>
      </c>
      <c r="L66" s="37"/>
      <c r="M66" s="36">
        <f>L62/I66</f>
        <v>94809.277903313647</v>
      </c>
      <c r="N66" s="33">
        <f t="shared" si="5"/>
        <v>6.7503942035363987E-2</v>
      </c>
      <c r="O66" s="34">
        <f t="shared" si="6"/>
        <v>1889.912995277419</v>
      </c>
    </row>
    <row r="67" spans="1:15" x14ac:dyDescent="0.3">
      <c r="A67" s="29">
        <v>2</v>
      </c>
      <c r="B67" s="29">
        <v>-2.5</v>
      </c>
      <c r="C67" s="50">
        <v>-2.3318315185581899</v>
      </c>
      <c r="D67" s="50">
        <v>1.3228122118008001</v>
      </c>
      <c r="E67" s="31">
        <f t="shared" si="27"/>
        <v>4.3318315185581895</v>
      </c>
      <c r="F67" s="32">
        <f t="shared" si="28"/>
        <v>0.67718778819919989</v>
      </c>
      <c r="G67" s="29">
        <v>100</v>
      </c>
      <c r="H67" s="33">
        <v>100000</v>
      </c>
      <c r="I67" s="33">
        <f t="shared" si="29"/>
        <v>1.6816848144181008E-3</v>
      </c>
      <c r="J67" s="33">
        <f t="shared" si="30"/>
        <v>1.3228122118008002E-5</v>
      </c>
      <c r="K67" s="34">
        <f t="shared" si="31"/>
        <v>127.12951992851292</v>
      </c>
      <c r="L67" s="37"/>
      <c r="M67" s="36">
        <f>L62/I67</f>
        <v>95142.679905427736</v>
      </c>
      <c r="N67" s="33" t="s">
        <v>20</v>
      </c>
      <c r="O67" s="34">
        <f t="shared" ref="O67:O91" si="32">0.025/J67</f>
        <v>1889.9130032951878</v>
      </c>
    </row>
    <row r="68" spans="1:15" x14ac:dyDescent="0.3">
      <c r="A68" s="29">
        <v>2</v>
      </c>
      <c r="B68" s="29">
        <v>-2</v>
      </c>
      <c r="C68" s="50">
        <v>-1.8324228900379</v>
      </c>
      <c r="D68" s="50">
        <v>1.3228122278513399</v>
      </c>
      <c r="E68" s="31">
        <f t="shared" si="27"/>
        <v>3.8324228900379</v>
      </c>
      <c r="F68" s="32">
        <f t="shared" si="28"/>
        <v>0.67718777214866011</v>
      </c>
      <c r="G68" s="29">
        <v>100</v>
      </c>
      <c r="H68" s="33">
        <v>100000</v>
      </c>
      <c r="I68" s="33">
        <f t="shared" si="29"/>
        <v>1.6757710996209995E-3</v>
      </c>
      <c r="J68" s="33">
        <f t="shared" si="30"/>
        <v>1.32281222785134E-5</v>
      </c>
      <c r="K68" s="34">
        <f t="shared" si="31"/>
        <v>126.68246213167949</v>
      </c>
      <c r="L68" s="37"/>
      <c r="M68" s="36">
        <f>L62/I68</f>
        <v>95478.43380052704</v>
      </c>
      <c r="N68" s="33">
        <f t="shared" ref="N67:N91" si="33">I68/0.025</f>
        <v>6.703084398483998E-2</v>
      </c>
      <c r="O68" s="34">
        <f t="shared" si="32"/>
        <v>1889.9129803636458</v>
      </c>
    </row>
    <row r="69" spans="1:15" x14ac:dyDescent="0.3">
      <c r="A69" s="29">
        <v>2</v>
      </c>
      <c r="B69" s="29">
        <v>-1.5</v>
      </c>
      <c r="C69" s="50">
        <v>-1.33301426448307</v>
      </c>
      <c r="D69" s="50">
        <v>1.3228122137709599</v>
      </c>
      <c r="E69" s="31">
        <f t="shared" si="27"/>
        <v>3.33301426448307</v>
      </c>
      <c r="F69" s="32">
        <f t="shared" si="28"/>
        <v>0.67718778622904008</v>
      </c>
      <c r="G69" s="29">
        <v>100</v>
      </c>
      <c r="H69" s="33">
        <v>100000</v>
      </c>
      <c r="I69" s="33">
        <f t="shared" si="29"/>
        <v>1.6698573551692996E-3</v>
      </c>
      <c r="J69" s="33">
        <f t="shared" si="30"/>
        <v>1.32281221377096E-5</v>
      </c>
      <c r="K69" s="34">
        <f t="shared" si="31"/>
        <v>126.23540497929127</v>
      </c>
      <c r="L69" s="37"/>
      <c r="M69" s="36">
        <f>L62/I69</f>
        <v>95816.567507814631</v>
      </c>
      <c r="N69" s="33">
        <f t="shared" si="33"/>
        <v>6.6794294206771979E-2</v>
      </c>
      <c r="O69" s="34">
        <f t="shared" si="32"/>
        <v>1889.9130004804038</v>
      </c>
    </row>
    <row r="70" spans="1:15" x14ac:dyDescent="0.3">
      <c r="A70" s="29">
        <v>2</v>
      </c>
      <c r="B70" s="29">
        <v>-1</v>
      </c>
      <c r="C70" s="50">
        <v>-0.83360563595970705</v>
      </c>
      <c r="D70" s="50">
        <v>1.32281222980802</v>
      </c>
      <c r="E70" s="31">
        <f t="shared" si="27"/>
        <v>2.833605635959707</v>
      </c>
      <c r="F70" s="32">
        <f t="shared" si="28"/>
        <v>0.67718777019197995</v>
      </c>
      <c r="G70" s="29">
        <v>100</v>
      </c>
      <c r="H70" s="33">
        <v>100000</v>
      </c>
      <c r="I70" s="33">
        <f t="shared" si="29"/>
        <v>1.6639436404029294E-3</v>
      </c>
      <c r="J70" s="33">
        <f t="shared" si="30"/>
        <v>1.3228122298080201E-5</v>
      </c>
      <c r="K70" s="34">
        <f t="shared" si="31"/>
        <v>125.78834719757752</v>
      </c>
      <c r="L70" s="37"/>
      <c r="M70" s="36">
        <f>L62/I70</f>
        <v>96157.102990132204</v>
      </c>
      <c r="N70" s="33">
        <f t="shared" si="33"/>
        <v>6.6557745616117173E-2</v>
      </c>
      <c r="O70" s="34">
        <f t="shared" si="32"/>
        <v>1889.9129775681204</v>
      </c>
    </row>
    <row r="71" spans="1:15" x14ac:dyDescent="0.3">
      <c r="A71" s="29">
        <v>2</v>
      </c>
      <c r="B71" s="29">
        <v>-0.5</v>
      </c>
      <c r="C71" s="50">
        <v>-0.334197010367347</v>
      </c>
      <c r="D71" s="50">
        <v>1.3228122157797499</v>
      </c>
      <c r="E71" s="31">
        <f t="shared" si="27"/>
        <v>2.3341970103673471</v>
      </c>
      <c r="F71" s="32">
        <f t="shared" si="28"/>
        <v>0.67718778422025006</v>
      </c>
      <c r="G71" s="29">
        <v>100</v>
      </c>
      <c r="H71" s="33">
        <v>100000</v>
      </c>
      <c r="I71" s="33">
        <f t="shared" si="29"/>
        <v>1.65802989632653E-3</v>
      </c>
      <c r="J71" s="33">
        <f t="shared" si="30"/>
        <v>1.32281221577975E-5</v>
      </c>
      <c r="K71" s="34">
        <f t="shared" si="31"/>
        <v>125.3412900597672</v>
      </c>
      <c r="L71" s="37"/>
      <c r="M71" s="36">
        <f>L62/I71</f>
        <v>96500.069362132796</v>
      </c>
      <c r="N71" s="33">
        <f t="shared" si="33"/>
        <v>6.6321195853061191E-2</v>
      </c>
      <c r="O71" s="34">
        <f t="shared" si="32"/>
        <v>1889.9129976104284</v>
      </c>
    </row>
    <row r="72" spans="1:15" x14ac:dyDescent="0.3">
      <c r="A72" s="38">
        <v>1.5</v>
      </c>
      <c r="B72" s="38">
        <v>-5</v>
      </c>
      <c r="C72" s="51">
        <v>-4.8937893258970302</v>
      </c>
      <c r="D72" s="51">
        <v>0.83993533018383504</v>
      </c>
      <c r="E72" s="40">
        <f t="shared" ref="E72:E82" si="34">A72-C72</f>
        <v>6.3937893258970302</v>
      </c>
      <c r="F72" s="41">
        <f t="shared" ref="F72:F82" si="35">A72-D72</f>
        <v>0.66006466981616496</v>
      </c>
      <c r="G72" s="38">
        <v>100</v>
      </c>
      <c r="H72" s="42">
        <v>100000</v>
      </c>
      <c r="I72" s="42">
        <f t="shared" ref="I72:I82" si="36">(C72-B72)/G72</f>
        <v>1.0621067410296981E-3</v>
      </c>
      <c r="J72" s="42">
        <f t="shared" ref="J72:J82" si="37">(D72-0)/H72</f>
        <v>8.3993533018383503E-6</v>
      </c>
      <c r="K72" s="43">
        <f t="shared" si="31"/>
        <v>126.45101388903795</v>
      </c>
      <c r="L72" s="44">
        <v>143</v>
      </c>
      <c r="M72" s="45">
        <f>L72/I72</f>
        <v>134638.06835588242</v>
      </c>
      <c r="N72" s="42">
        <f t="shared" si="33"/>
        <v>4.248426964118792E-2</v>
      </c>
      <c r="O72" s="43">
        <f t="shared" si="32"/>
        <v>2976.4196244165964</v>
      </c>
    </row>
    <row r="73" spans="1:15" x14ac:dyDescent="0.3">
      <c r="A73" s="38">
        <v>1.5</v>
      </c>
      <c r="B73" s="38">
        <v>-4.5</v>
      </c>
      <c r="C73" s="51">
        <v>-4.3941564358488501</v>
      </c>
      <c r="D73" s="51">
        <v>0.83993533116475705</v>
      </c>
      <c r="E73" s="40">
        <f t="shared" si="34"/>
        <v>5.8941564358488501</v>
      </c>
      <c r="F73" s="41">
        <f t="shared" si="35"/>
        <v>0.66006466883524295</v>
      </c>
      <c r="G73" s="38">
        <v>100</v>
      </c>
      <c r="H73" s="42">
        <v>100000</v>
      </c>
      <c r="I73" s="42">
        <f t="shared" si="36"/>
        <v>1.0584356415114992E-3</v>
      </c>
      <c r="J73" s="42">
        <f t="shared" si="37"/>
        <v>8.3993533116475712E-6</v>
      </c>
      <c r="K73" s="43">
        <f t="shared" si="31"/>
        <v>126.0139444359059</v>
      </c>
      <c r="L73" s="19"/>
      <c r="M73" s="45">
        <f>L72/I73</f>
        <v>135105.04974661363</v>
      </c>
      <c r="N73" s="42">
        <f t="shared" si="33"/>
        <v>4.2337425660459969E-2</v>
      </c>
      <c r="O73" s="43">
        <f t="shared" si="32"/>
        <v>2976.4196209405718</v>
      </c>
    </row>
    <row r="74" spans="1:15" x14ac:dyDescent="0.3">
      <c r="A74" s="38">
        <v>1.5</v>
      </c>
      <c r="B74" s="38">
        <v>-4</v>
      </c>
      <c r="C74" s="51">
        <v>-3.8945235457885201</v>
      </c>
      <c r="D74" s="51">
        <v>0.83993533214546801</v>
      </c>
      <c r="E74" s="40">
        <f t="shared" si="34"/>
        <v>5.3945235457885197</v>
      </c>
      <c r="F74" s="41">
        <f t="shared" si="35"/>
        <v>0.66006466785453199</v>
      </c>
      <c r="G74" s="38">
        <v>100</v>
      </c>
      <c r="H74" s="42">
        <v>100000</v>
      </c>
      <c r="I74" s="42">
        <f t="shared" si="36"/>
        <v>1.0547645421147989E-3</v>
      </c>
      <c r="J74" s="42">
        <f t="shared" si="37"/>
        <v>8.3993533214546796E-6</v>
      </c>
      <c r="K74" s="43">
        <f t="shared" si="31"/>
        <v>125.57687499829152</v>
      </c>
      <c r="L74" s="19"/>
      <c r="M74" s="45">
        <f>L72/I74</f>
        <v>135575.28177168863</v>
      </c>
      <c r="N74" s="42">
        <f t="shared" si="33"/>
        <v>4.2190581684591957E-2</v>
      </c>
      <c r="O74" s="43">
        <f t="shared" si="32"/>
        <v>2976.4196174652961</v>
      </c>
    </row>
    <row r="75" spans="1:15" x14ac:dyDescent="0.3">
      <c r="A75" s="38">
        <v>1.5</v>
      </c>
      <c r="B75" s="38">
        <v>-3.5</v>
      </c>
      <c r="C75" s="51">
        <v>-3.3948906557160998</v>
      </c>
      <c r="D75" s="51">
        <v>0.83993533312597701</v>
      </c>
      <c r="E75" s="40">
        <f t="shared" si="34"/>
        <v>4.8948906557161003</v>
      </c>
      <c r="F75" s="41">
        <f t="shared" si="35"/>
        <v>0.66006466687402299</v>
      </c>
      <c r="G75" s="38">
        <v>100</v>
      </c>
      <c r="H75" s="42">
        <v>100000</v>
      </c>
      <c r="I75" s="42">
        <f t="shared" si="36"/>
        <v>1.0510934428390017E-3</v>
      </c>
      <c r="J75" s="42">
        <f t="shared" si="37"/>
        <v>8.3993533312597704E-6</v>
      </c>
      <c r="K75" s="43">
        <f t="shared" si="31"/>
        <v>125.13980557612217</v>
      </c>
      <c r="L75" s="19"/>
      <c r="M75" s="45">
        <f>L72/I75</f>
        <v>136048.79849098594</v>
      </c>
      <c r="N75" s="42">
        <f t="shared" si="33"/>
        <v>4.2043737713560063E-2</v>
      </c>
      <c r="O75" s="43">
        <f t="shared" si="32"/>
        <v>2976.4196139907353</v>
      </c>
    </row>
    <row r="76" spans="1:15" x14ac:dyDescent="0.3">
      <c r="A76" s="38">
        <v>1.5</v>
      </c>
      <c r="B76" s="38">
        <v>-3</v>
      </c>
      <c r="C76" s="51">
        <v>-2.8952577656292702</v>
      </c>
      <c r="D76" s="51">
        <v>0.83993533410550802</v>
      </c>
      <c r="E76" s="40">
        <f t="shared" si="34"/>
        <v>4.3952577656292702</v>
      </c>
      <c r="F76" s="41">
        <f t="shared" si="35"/>
        <v>0.66006466589449198</v>
      </c>
      <c r="G76" s="38">
        <v>100</v>
      </c>
      <c r="H76" s="42">
        <v>100000</v>
      </c>
      <c r="I76" s="42">
        <f t="shared" si="36"/>
        <v>1.0474223437072982E-3</v>
      </c>
      <c r="J76" s="42">
        <f t="shared" si="37"/>
        <v>8.3993533410550796E-6</v>
      </c>
      <c r="K76" s="43">
        <f t="shared" si="31"/>
        <v>124.70273617227382</v>
      </c>
      <c r="L76" s="19"/>
      <c r="M76" s="45">
        <f>L72/I76</f>
        <v>136525.63443878689</v>
      </c>
      <c r="N76" s="42">
        <f t="shared" si="33"/>
        <v>4.1896893748291926E-2</v>
      </c>
      <c r="O76" s="43">
        <f t="shared" si="32"/>
        <v>2976.4196105196406</v>
      </c>
    </row>
    <row r="77" spans="1:15" x14ac:dyDescent="0.3">
      <c r="A77" s="38">
        <v>1.5</v>
      </c>
      <c r="B77" s="38">
        <v>-2.5</v>
      </c>
      <c r="C77" s="51">
        <v>-2.3956248755306899</v>
      </c>
      <c r="D77" s="51">
        <v>0.83993533508495899</v>
      </c>
      <c r="E77" s="40">
        <f t="shared" si="34"/>
        <v>3.8956248755306899</v>
      </c>
      <c r="F77" s="41">
        <f t="shared" si="35"/>
        <v>0.66006466491504101</v>
      </c>
      <c r="G77" s="38">
        <v>100</v>
      </c>
      <c r="H77" s="42">
        <v>100000</v>
      </c>
      <c r="I77" s="42">
        <f t="shared" si="36"/>
        <v>1.0437512446931007E-3</v>
      </c>
      <c r="J77" s="42">
        <f t="shared" si="37"/>
        <v>8.3993533508495893E-6</v>
      </c>
      <c r="K77" s="43">
        <f t="shared" si="31"/>
        <v>124.2656667834466</v>
      </c>
      <c r="L77" s="19"/>
      <c r="M77" s="45">
        <f>L72/I77</f>
        <v>137005.82464172004</v>
      </c>
      <c r="N77" s="42">
        <f t="shared" si="33"/>
        <v>4.1750049787724029E-2</v>
      </c>
      <c r="O77" s="43">
        <f t="shared" si="32"/>
        <v>2976.4196070488292</v>
      </c>
    </row>
    <row r="78" spans="1:15" x14ac:dyDescent="0.3">
      <c r="A78" s="38">
        <v>1.5</v>
      </c>
      <c r="B78" s="38">
        <v>-2</v>
      </c>
      <c r="C78" s="51">
        <v>-1.89599198541888</v>
      </c>
      <c r="D78" s="51">
        <v>0.83993533606382997</v>
      </c>
      <c r="E78" s="40">
        <f t="shared" si="34"/>
        <v>3.3959919854188803</v>
      </c>
      <c r="F78" s="41">
        <f t="shared" si="35"/>
        <v>0.66006466393617003</v>
      </c>
      <c r="G78" s="38">
        <v>100</v>
      </c>
      <c r="H78" s="42">
        <v>100000</v>
      </c>
      <c r="I78" s="42">
        <f t="shared" si="36"/>
        <v>1.0400801458111996E-3</v>
      </c>
      <c r="J78" s="42">
        <f t="shared" si="37"/>
        <v>8.3993533606383001E-6</v>
      </c>
      <c r="K78" s="43">
        <f t="shared" si="31"/>
        <v>123.82859741147499</v>
      </c>
      <c r="L78" s="19"/>
      <c r="M78" s="45">
        <f>L72/I78</f>
        <v>137489.40461551514</v>
      </c>
      <c r="N78" s="42">
        <f t="shared" si="33"/>
        <v>4.1603205832447983E-2</v>
      </c>
      <c r="O78" s="43">
        <f t="shared" si="32"/>
        <v>2976.4196035800728</v>
      </c>
    </row>
    <row r="79" spans="1:15" x14ac:dyDescent="0.3">
      <c r="A79" s="38">
        <v>1.5</v>
      </c>
      <c r="B79" s="38">
        <v>-1.5</v>
      </c>
      <c r="C79" s="51">
        <v>-1.39635909529442</v>
      </c>
      <c r="D79" s="51">
        <v>0.83993533704232104</v>
      </c>
      <c r="E79" s="40">
        <f t="shared" si="34"/>
        <v>2.8963590952944198</v>
      </c>
      <c r="F79" s="41">
        <f t="shared" si="35"/>
        <v>0.66006466295767896</v>
      </c>
      <c r="G79" s="38">
        <v>100</v>
      </c>
      <c r="H79" s="42">
        <v>100000</v>
      </c>
      <c r="I79" s="42">
        <f t="shared" si="36"/>
        <v>1.0364090470557996E-3</v>
      </c>
      <c r="J79" s="42">
        <f t="shared" si="37"/>
        <v>8.3993533704232112E-6</v>
      </c>
      <c r="K79" s="43">
        <f t="shared" si="31"/>
        <v>123.39152805563876</v>
      </c>
      <c r="L79" s="19"/>
      <c r="M79" s="45">
        <f>L72/I79</f>
        <v>137976.41038181807</v>
      </c>
      <c r="N79" s="42">
        <f t="shared" si="33"/>
        <v>4.1456361882231986E-2</v>
      </c>
      <c r="O79" s="43">
        <f t="shared" si="32"/>
        <v>2976.4196001126629</v>
      </c>
    </row>
    <row r="80" spans="1:15" x14ac:dyDescent="0.3">
      <c r="A80" s="38">
        <v>1.5</v>
      </c>
      <c r="B80" s="38">
        <v>-1</v>
      </c>
      <c r="C80" s="51">
        <v>-0.89672620515652401</v>
      </c>
      <c r="D80" s="51">
        <v>0.83993533802015896</v>
      </c>
      <c r="E80" s="40">
        <f t="shared" si="34"/>
        <v>2.3967262051565239</v>
      </c>
      <c r="F80" s="41">
        <f t="shared" si="35"/>
        <v>0.66006466197984104</v>
      </c>
      <c r="G80" s="38">
        <v>100</v>
      </c>
      <c r="H80" s="42">
        <v>100000</v>
      </c>
      <c r="I80" s="42">
        <f t="shared" si="36"/>
        <v>1.0327379484347599E-3</v>
      </c>
      <c r="J80" s="42">
        <f t="shared" si="37"/>
        <v>8.3993533802015899E-6</v>
      </c>
      <c r="K80" s="43">
        <f t="shared" si="31"/>
        <v>122.95445871691298</v>
      </c>
      <c r="L80" s="19"/>
      <c r="M80" s="45">
        <f>L72/I80</f>
        <v>138466.87847264053</v>
      </c>
      <c r="N80" s="42">
        <f t="shared" si="33"/>
        <v>4.1309517937390391E-2</v>
      </c>
      <c r="O80" s="43">
        <f t="shared" si="32"/>
        <v>2976.4195966475677</v>
      </c>
    </row>
    <row r="81" spans="1:15" x14ac:dyDescent="0.3">
      <c r="A81" s="38">
        <v>1.5</v>
      </c>
      <c r="B81" s="38">
        <v>-0.5</v>
      </c>
      <c r="C81" s="51">
        <v>-0.39709331500613498</v>
      </c>
      <c r="D81" s="51">
        <v>0.83993533899766804</v>
      </c>
      <c r="E81" s="40">
        <f t="shared" si="34"/>
        <v>1.8970933150061349</v>
      </c>
      <c r="F81" s="41">
        <f t="shared" si="35"/>
        <v>0.66006466100233196</v>
      </c>
      <c r="G81" s="38">
        <v>100</v>
      </c>
      <c r="H81" s="42">
        <v>100000</v>
      </c>
      <c r="I81" s="42">
        <f t="shared" si="36"/>
        <v>1.0290668499386502E-3</v>
      </c>
      <c r="J81" s="42">
        <f t="shared" si="37"/>
        <v>8.3993533899766805E-6</v>
      </c>
      <c r="K81" s="43">
        <f t="shared" si="31"/>
        <v>122.5173893941266</v>
      </c>
      <c r="L81" s="19"/>
      <c r="M81" s="45">
        <f>L72/I81</f>
        <v>138960.84594360922</v>
      </c>
      <c r="N81" s="42">
        <f t="shared" si="33"/>
        <v>4.1162673997546008E-2</v>
      </c>
      <c r="O81" s="43">
        <f t="shared" si="32"/>
        <v>2976.419593183638</v>
      </c>
    </row>
    <row r="82" spans="1:15" x14ac:dyDescent="0.3">
      <c r="A82" s="11">
        <v>1</v>
      </c>
      <c r="B82" s="11">
        <v>-5</v>
      </c>
      <c r="C82" s="48">
        <v>-4.9556338461296798</v>
      </c>
      <c r="D82" s="48">
        <v>0.37101543194822101</v>
      </c>
      <c r="E82" s="13">
        <f t="shared" si="34"/>
        <v>5.9556338461296798</v>
      </c>
      <c r="F82" s="14">
        <f t="shared" si="35"/>
        <v>0.62898456805177894</v>
      </c>
      <c r="G82" s="11">
        <v>100</v>
      </c>
      <c r="H82" s="15">
        <v>100000</v>
      </c>
      <c r="I82" s="15">
        <f t="shared" si="36"/>
        <v>4.4366153870320171E-4</v>
      </c>
      <c r="J82" s="15">
        <f t="shared" si="37"/>
        <v>3.71015431948221E-6</v>
      </c>
      <c r="K82" s="16">
        <f t="shared" si="31"/>
        <v>119.58034639516536</v>
      </c>
      <c r="L82" s="17">
        <v>133</v>
      </c>
      <c r="M82" s="18">
        <f>L82/I82</f>
        <v>299778.07043800032</v>
      </c>
      <c r="N82" s="15">
        <f t="shared" si="33"/>
        <v>1.7746461548128069E-2</v>
      </c>
      <c r="O82" s="16">
        <f t="shared" si="32"/>
        <v>6738.2641926034512</v>
      </c>
    </row>
    <row r="83" spans="1:15" x14ac:dyDescent="0.3">
      <c r="A83" s="11">
        <v>1</v>
      </c>
      <c r="B83" s="11">
        <v>-4.5</v>
      </c>
      <c r="C83" s="48">
        <v>-4.4557868122435798</v>
      </c>
      <c r="D83" s="48">
        <v>0.371015447393655</v>
      </c>
      <c r="E83" s="13">
        <f t="shared" ref="E83:E91" si="38">A83-C83</f>
        <v>5.4557868122435798</v>
      </c>
      <c r="F83" s="14">
        <f t="shared" ref="F83:F91" si="39">A83-D83</f>
        <v>0.628984552606345</v>
      </c>
      <c r="G83" s="11">
        <v>100</v>
      </c>
      <c r="H83" s="15">
        <v>100000</v>
      </c>
      <c r="I83" s="15">
        <f t="shared" ref="I83:I91" si="40">(C83-B83)/G83</f>
        <v>4.4213187756420247E-4</v>
      </c>
      <c r="J83" s="15">
        <f t="shared" ref="J83:J91" si="41">(D83-0)/H83</f>
        <v>3.7101544739365499E-6</v>
      </c>
      <c r="K83" s="16">
        <f t="shared" si="31"/>
        <v>119.16805099899021</v>
      </c>
      <c r="L83" s="19"/>
      <c r="M83" s="18">
        <f>L82/I83</f>
        <v>300815.22448172019</v>
      </c>
      <c r="N83" s="15">
        <f t="shared" si="33"/>
        <v>1.7685275102568097E-2</v>
      </c>
      <c r="O83" s="16">
        <f t="shared" si="32"/>
        <v>6738.2639120884069</v>
      </c>
    </row>
    <row r="84" spans="1:15" x14ac:dyDescent="0.3">
      <c r="A84" s="11">
        <v>1</v>
      </c>
      <c r="B84" s="11">
        <v>-4</v>
      </c>
      <c r="C84" s="48">
        <v>-3.95593978386542</v>
      </c>
      <c r="D84" s="48">
        <v>0.37101543497689599</v>
      </c>
      <c r="E84" s="13">
        <f t="shared" si="38"/>
        <v>4.9559397838654196</v>
      </c>
      <c r="F84" s="14">
        <f t="shared" si="39"/>
        <v>0.62898456502310407</v>
      </c>
      <c r="G84" s="11">
        <v>100</v>
      </c>
      <c r="H84" s="15">
        <v>100000</v>
      </c>
      <c r="I84" s="15">
        <f t="shared" si="40"/>
        <v>4.4060216134580001E-4</v>
      </c>
      <c r="J84" s="15">
        <f t="shared" si="41"/>
        <v>3.7101543497689598E-6</v>
      </c>
      <c r="K84" s="16">
        <f t="shared" si="31"/>
        <v>118.75574970977618</v>
      </c>
      <c r="L84" s="19"/>
      <c r="M84" s="18">
        <f>L82/I84</f>
        <v>301859.61774167727</v>
      </c>
      <c r="N84" s="15">
        <f t="shared" si="33"/>
        <v>1.7624086453832E-2</v>
      </c>
      <c r="O84" s="16">
        <f t="shared" si="32"/>
        <v>6738.2641375976209</v>
      </c>
    </row>
    <row r="85" spans="1:15" x14ac:dyDescent="0.3">
      <c r="A85" s="11">
        <v>1</v>
      </c>
      <c r="B85" s="11">
        <v>-3.5</v>
      </c>
      <c r="C85" s="48">
        <v>-3.4560927499785801</v>
      </c>
      <c r="D85" s="48">
        <v>0.37101545040834699</v>
      </c>
      <c r="E85" s="13">
        <f t="shared" si="38"/>
        <v>4.4560927499785805</v>
      </c>
      <c r="F85" s="14">
        <f t="shared" si="39"/>
        <v>0.62898454959165306</v>
      </c>
      <c r="G85" s="11">
        <v>100</v>
      </c>
      <c r="H85" s="15">
        <v>100000</v>
      </c>
      <c r="I85" s="15">
        <f t="shared" si="40"/>
        <v>4.3907250021419931E-4</v>
      </c>
      <c r="J85" s="15">
        <f t="shared" si="41"/>
        <v>3.7101545040834698E-6</v>
      </c>
      <c r="K85" s="16">
        <f t="shared" si="31"/>
        <v>118.3434543577491</v>
      </c>
      <c r="L85" s="19"/>
      <c r="M85" s="18">
        <f>L82/I85</f>
        <v>302911.25027214555</v>
      </c>
      <c r="N85" s="15">
        <f t="shared" si="33"/>
        <v>1.7562900008567972E-2</v>
      </c>
      <c r="O85" s="16">
        <f t="shared" si="32"/>
        <v>6738.2638573365357</v>
      </c>
    </row>
    <row r="86" spans="1:15" x14ac:dyDescent="0.3">
      <c r="A86" s="11">
        <v>1</v>
      </c>
      <c r="B86" s="11">
        <v>-3</v>
      </c>
      <c r="C86" s="48">
        <v>-2.9562457215728699</v>
      </c>
      <c r="D86" s="48">
        <v>0.37101543790931601</v>
      </c>
      <c r="E86" s="13">
        <f t="shared" si="38"/>
        <v>3.9562457215728699</v>
      </c>
      <c r="F86" s="14">
        <f t="shared" si="39"/>
        <v>0.62898456209068399</v>
      </c>
      <c r="G86" s="11">
        <v>100</v>
      </c>
      <c r="H86" s="15">
        <v>100000</v>
      </c>
      <c r="I86" s="15">
        <f t="shared" si="40"/>
        <v>4.3754278427130086E-4</v>
      </c>
      <c r="J86" s="15">
        <f t="shared" si="41"/>
        <v>3.7101543790931604E-6</v>
      </c>
      <c r="K86" s="16">
        <f t="shared" si="31"/>
        <v>117.93115314469624</v>
      </c>
      <c r="L86" s="19"/>
      <c r="M86" s="18">
        <f>L82/I86</f>
        <v>303970.27395047294</v>
      </c>
      <c r="N86" s="15">
        <f t="shared" si="33"/>
        <v>1.7501711370852033E-2</v>
      </c>
      <c r="O86" s="16">
        <f t="shared" si="32"/>
        <v>6738.2640843399422</v>
      </c>
    </row>
    <row r="87" spans="1:15" x14ac:dyDescent="0.3">
      <c r="A87" s="11">
        <v>1</v>
      </c>
      <c r="B87" s="11">
        <v>-2.5</v>
      </c>
      <c r="C87" s="48">
        <v>-2.4563986876653301</v>
      </c>
      <c r="D87" s="48">
        <v>0.371015453423028</v>
      </c>
      <c r="E87" s="13">
        <f t="shared" si="38"/>
        <v>3.4563986876653301</v>
      </c>
      <c r="F87" s="14">
        <f t="shared" si="39"/>
        <v>0.628984546576972</v>
      </c>
      <c r="G87" s="11">
        <v>100</v>
      </c>
      <c r="H87" s="15">
        <v>100000</v>
      </c>
      <c r="I87" s="15">
        <f t="shared" si="40"/>
        <v>4.3601312334669908E-4</v>
      </c>
      <c r="J87" s="15">
        <f t="shared" si="41"/>
        <v>3.71015453423028E-6</v>
      </c>
      <c r="K87" s="16">
        <f t="shared" si="31"/>
        <v>117.51885785996127</v>
      </c>
      <c r="L87" s="19"/>
      <c r="M87" s="18">
        <f>L82/I87</f>
        <v>305036.69013247581</v>
      </c>
      <c r="N87" s="15">
        <f t="shared" si="33"/>
        <v>1.7440524933867961E-2</v>
      </c>
      <c r="O87" s="16">
        <f t="shared" si="32"/>
        <v>6738.2638025848637</v>
      </c>
    </row>
    <row r="88" spans="1:15" x14ac:dyDescent="0.3">
      <c r="A88" s="11">
        <v>1</v>
      </c>
      <c r="B88" s="11">
        <v>-2</v>
      </c>
      <c r="C88" s="48">
        <v>-1.9565516591985199</v>
      </c>
      <c r="D88" s="48">
        <v>0.37101544100662498</v>
      </c>
      <c r="E88" s="13">
        <f t="shared" si="38"/>
        <v>2.9565516591985199</v>
      </c>
      <c r="F88" s="14">
        <f t="shared" si="39"/>
        <v>0.62898455899337502</v>
      </c>
      <c r="G88" s="11">
        <v>100</v>
      </c>
      <c r="H88" s="15">
        <v>100000</v>
      </c>
      <c r="I88" s="15">
        <f t="shared" si="40"/>
        <v>4.3448340801480081E-4</v>
      </c>
      <c r="J88" s="15">
        <f t="shared" si="41"/>
        <v>3.7101544100662499E-6</v>
      </c>
      <c r="K88" s="16">
        <f t="shared" si="31"/>
        <v>117.10655676108168</v>
      </c>
      <c r="L88" s="19"/>
      <c r="M88" s="18">
        <f>L82/I88</f>
        <v>306110.65358672873</v>
      </c>
      <c r="N88" s="15">
        <f t="shared" si="33"/>
        <v>1.7379336320592031E-2</v>
      </c>
      <c r="O88" s="16">
        <f t="shared" si="32"/>
        <v>6738.2640280876049</v>
      </c>
    </row>
    <row r="89" spans="1:15" x14ac:dyDescent="0.3">
      <c r="A89" s="11">
        <v>1</v>
      </c>
      <c r="B89" s="11">
        <v>-1.5</v>
      </c>
      <c r="C89" s="48">
        <v>-1.4567046253039899</v>
      </c>
      <c r="D89" s="48">
        <v>0.37101545643782202</v>
      </c>
      <c r="E89" s="13">
        <f t="shared" si="38"/>
        <v>2.4567046253039901</v>
      </c>
      <c r="F89" s="14">
        <f t="shared" si="39"/>
        <v>0.62898454356217792</v>
      </c>
      <c r="G89" s="11">
        <v>100</v>
      </c>
      <c r="H89" s="15">
        <v>100000</v>
      </c>
      <c r="I89" s="15">
        <f t="shared" si="40"/>
        <v>4.3295374696010079E-4</v>
      </c>
      <c r="J89" s="15">
        <f t="shared" si="41"/>
        <v>3.7101545643782201E-6</v>
      </c>
      <c r="K89" s="16">
        <f t="shared" si="31"/>
        <v>116.69426150515616</v>
      </c>
      <c r="L89" s="19"/>
      <c r="M89" s="18">
        <f>L82/I89</f>
        <v>307192.16760181251</v>
      </c>
      <c r="N89" s="15">
        <f t="shared" si="33"/>
        <v>1.7318149878404031E-2</v>
      </c>
      <c r="O89" s="16">
        <f t="shared" si="32"/>
        <v>6738.2637478311417</v>
      </c>
    </row>
    <row r="90" spans="1:15" x14ac:dyDescent="0.3">
      <c r="A90" s="11">
        <v>1</v>
      </c>
      <c r="B90" s="11">
        <v>-1</v>
      </c>
      <c r="C90" s="48">
        <v>-0.95685759680941096</v>
      </c>
      <c r="D90" s="48">
        <v>0.37101544393900299</v>
      </c>
      <c r="E90" s="13">
        <f t="shared" si="38"/>
        <v>1.9568575968094111</v>
      </c>
      <c r="F90" s="14">
        <f t="shared" si="39"/>
        <v>0.62898455606099701</v>
      </c>
      <c r="G90" s="11">
        <v>100</v>
      </c>
      <c r="H90" s="15">
        <v>100000</v>
      </c>
      <c r="I90" s="15">
        <f t="shared" si="40"/>
        <v>4.3142403190589039E-4</v>
      </c>
      <c r="J90" s="15">
        <f t="shared" si="41"/>
        <v>3.7101544393900299E-6</v>
      </c>
      <c r="K90" s="16">
        <f t="shared" si="31"/>
        <v>116.28196048270672</v>
      </c>
      <c r="L90" s="19"/>
      <c r="M90" s="18">
        <f>L82/I90</f>
        <v>308281.38945447584</v>
      </c>
      <c r="N90" s="15">
        <f t="shared" si="33"/>
        <v>1.7256961276235615E-2</v>
      </c>
      <c r="O90" s="16">
        <f t="shared" si="32"/>
        <v>6738.263974830692</v>
      </c>
    </row>
    <row r="91" spans="1:15" x14ac:dyDescent="0.3">
      <c r="A91" s="11">
        <v>1</v>
      </c>
      <c r="B91" s="11">
        <v>-0.5</v>
      </c>
      <c r="C91" s="48">
        <v>-0.457010562894344</v>
      </c>
      <c r="D91" s="48">
        <v>0.371015459452534</v>
      </c>
      <c r="E91" s="13">
        <f t="shared" si="38"/>
        <v>1.4570105628943439</v>
      </c>
      <c r="F91" s="14">
        <f t="shared" si="39"/>
        <v>0.628984540547466</v>
      </c>
      <c r="G91" s="11">
        <v>100</v>
      </c>
      <c r="H91" s="15">
        <v>100000</v>
      </c>
      <c r="I91" s="15">
        <f t="shared" si="40"/>
        <v>4.2989437105656004E-4</v>
      </c>
      <c r="J91" s="15">
        <f t="shared" si="41"/>
        <v>3.7101545945253399E-6</v>
      </c>
      <c r="K91" s="16">
        <f t="shared" si="31"/>
        <v>115.86966529397645</v>
      </c>
      <c r="L91" s="19"/>
      <c r="M91" s="18">
        <f>L82/I91</f>
        <v>309378.32396624133</v>
      </c>
      <c r="N91" s="15">
        <f t="shared" si="33"/>
        <v>1.7195774842262399E-2</v>
      </c>
      <c r="O91" s="16">
        <f t="shared" si="32"/>
        <v>6738.2636930789095</v>
      </c>
    </row>
  </sheetData>
  <mergeCells count="9">
    <mergeCell ref="L62:L71"/>
    <mergeCell ref="L72:L81"/>
    <mergeCell ref="L82:L91"/>
    <mergeCell ref="L22:L31"/>
    <mergeCell ref="L2:L11"/>
    <mergeCell ref="L12:L21"/>
    <mergeCell ref="L32:L41"/>
    <mergeCell ref="L42:L51"/>
    <mergeCell ref="L52:L61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1"/>
  <sheetViews>
    <sheetView tabSelected="1" zoomScaleNormal="100" workbookViewId="0">
      <pane ySplit="1" topLeftCell="A2" activePane="bottomLeft" state="frozen"/>
      <selection activeCell="F1" sqref="F1"/>
      <selection pane="bottomLeft" activeCell="J81" sqref="J81"/>
    </sheetView>
  </sheetViews>
  <sheetFormatPr defaultColWidth="9" defaultRowHeight="14.4" x14ac:dyDescent="0.3"/>
  <cols>
    <col min="1" max="1" width="8.88671875" style="6" bestFit="1" customWidth="1"/>
    <col min="2" max="2" width="8.5546875" style="6" bestFit="1" customWidth="1"/>
    <col min="3" max="4" width="14.109375" style="6" bestFit="1" customWidth="1"/>
    <col min="5" max="5" width="10" style="7" bestFit="1" customWidth="1"/>
    <col min="6" max="6" width="12.21875" style="8" bestFit="1" customWidth="1"/>
    <col min="7" max="8" width="9.109375" style="6" bestFit="1" customWidth="1"/>
    <col min="9" max="10" width="9" style="6" bestFit="1" customWidth="1"/>
    <col min="11" max="11" width="8.21875" style="6" bestFit="1" customWidth="1"/>
    <col min="12" max="12" width="10.5546875" style="9" bestFit="1" customWidth="1"/>
    <col min="13" max="13" width="9" style="9" bestFit="1" customWidth="1"/>
    <col min="14" max="14" width="13.21875" style="10" bestFit="1" customWidth="1"/>
    <col min="15" max="15" width="12.44140625" style="9" bestFit="1" customWidth="1"/>
    <col min="16" max="16384" width="9" style="6"/>
  </cols>
  <sheetData>
    <row r="1" spans="1:15" x14ac:dyDescent="0.3">
      <c r="A1" s="6" t="s">
        <v>16</v>
      </c>
      <c r="B1" s="6" t="s">
        <v>17</v>
      </c>
      <c r="C1" s="6" t="s">
        <v>0</v>
      </c>
      <c r="D1" s="6" t="s">
        <v>1</v>
      </c>
      <c r="E1" s="7" t="s">
        <v>18</v>
      </c>
      <c r="F1" s="8" t="s">
        <v>19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21</v>
      </c>
      <c r="L1" s="9" t="s">
        <v>9</v>
      </c>
      <c r="M1" s="9" t="s">
        <v>12</v>
      </c>
      <c r="N1" s="10" t="s">
        <v>10</v>
      </c>
      <c r="O1" s="9" t="s">
        <v>11</v>
      </c>
    </row>
    <row r="2" spans="1:15" x14ac:dyDescent="0.3">
      <c r="A2" s="11">
        <v>5</v>
      </c>
      <c r="B2" s="11">
        <v>-5</v>
      </c>
      <c r="C2" s="12">
        <v>-3.8223999999999898</v>
      </c>
      <c r="D2" s="12">
        <v>4.2584</v>
      </c>
      <c r="E2" s="13">
        <f>A2-C2</f>
        <v>8.8223999999999894</v>
      </c>
      <c r="F2" s="14">
        <f>A2-D2</f>
        <v>0.74160000000000004</v>
      </c>
      <c r="G2" s="11">
        <v>100</v>
      </c>
      <c r="H2" s="15">
        <v>100000</v>
      </c>
      <c r="I2" s="15">
        <f>(C2-B2)/G2</f>
        <v>1.1776000000000102E-2</v>
      </c>
      <c r="J2" s="15">
        <f>(D2-0)/H2</f>
        <v>4.2583999999999998E-5</v>
      </c>
      <c r="K2" s="16">
        <f t="shared" ref="K2:K65" si="0">I2/J2</f>
        <v>276.53578808942569</v>
      </c>
      <c r="L2" s="17">
        <v>48</v>
      </c>
      <c r="M2" s="18">
        <f>L2/I2</f>
        <v>4076.0869565217035</v>
      </c>
      <c r="N2" s="15">
        <f>I2/0.025</f>
        <v>0.47104000000000407</v>
      </c>
      <c r="O2" s="16">
        <f>0.025/J2</f>
        <v>587.07495773060316</v>
      </c>
    </row>
    <row r="3" spans="1:15" x14ac:dyDescent="0.3">
      <c r="A3" s="11">
        <v>5</v>
      </c>
      <c r="B3" s="11">
        <v>-4.5</v>
      </c>
      <c r="C3" s="12">
        <v>-3.3343999999999898</v>
      </c>
      <c r="D3" s="12">
        <v>4.2851999999999997</v>
      </c>
      <c r="E3" s="13">
        <f t="shared" ref="E3:E11" si="1">A3-C3</f>
        <v>8.3343999999999898</v>
      </c>
      <c r="F3" s="14">
        <f t="shared" ref="F3:F11" si="2">A3-D3</f>
        <v>0.71480000000000032</v>
      </c>
      <c r="G3" s="11">
        <v>100</v>
      </c>
      <c r="H3" s="15">
        <v>100000</v>
      </c>
      <c r="I3" s="15">
        <f t="shared" ref="I3:I11" si="3">(C3-B3)/G3</f>
        <v>1.1656000000000102E-2</v>
      </c>
      <c r="J3" s="15">
        <f t="shared" ref="J3:J11" si="4">(D3-0)/H3</f>
        <v>4.2851999999999996E-5</v>
      </c>
      <c r="K3" s="16">
        <f t="shared" si="0"/>
        <v>272.00597405022177</v>
      </c>
      <c r="L3" s="19"/>
      <c r="M3" s="18">
        <f>L2/I3</f>
        <v>4118.0507892930318</v>
      </c>
      <c r="N3" s="15">
        <f t="shared" ref="N3:N66" si="5">I3/0.025</f>
        <v>0.46624000000000404</v>
      </c>
      <c r="O3" s="16">
        <f t="shared" ref="O3:O66" si="6">0.025/J3</f>
        <v>583.40334173434155</v>
      </c>
    </row>
    <row r="4" spans="1:15" x14ac:dyDescent="0.3">
      <c r="A4" s="11">
        <v>5</v>
      </c>
      <c r="B4" s="11">
        <v>-4</v>
      </c>
      <c r="C4" s="12">
        <v>-2.8351999999999902</v>
      </c>
      <c r="D4" s="12">
        <v>4.2872000000000003</v>
      </c>
      <c r="E4" s="13">
        <f t="shared" si="1"/>
        <v>7.8351999999999897</v>
      </c>
      <c r="F4" s="14">
        <f t="shared" si="2"/>
        <v>0.71279999999999966</v>
      </c>
      <c r="G4" s="11">
        <v>100</v>
      </c>
      <c r="H4" s="15">
        <v>100000</v>
      </c>
      <c r="I4" s="15">
        <f t="shared" si="3"/>
        <v>1.1648000000000098E-2</v>
      </c>
      <c r="J4" s="15">
        <f t="shared" si="4"/>
        <v>4.2872000000000006E-5</v>
      </c>
      <c r="K4" s="16">
        <f t="shared" si="0"/>
        <v>271.69247994028962</v>
      </c>
      <c r="L4" s="19"/>
      <c r="M4" s="18">
        <f>L2/I4</f>
        <v>4120.8791208790863</v>
      </c>
      <c r="N4" s="15">
        <f t="shared" si="5"/>
        <v>0.46592000000000389</v>
      </c>
      <c r="O4" s="16">
        <f t="shared" si="6"/>
        <v>583.13118119052058</v>
      </c>
    </row>
    <row r="5" spans="1:15" x14ac:dyDescent="0.3">
      <c r="A5" s="11">
        <v>5</v>
      </c>
      <c r="B5" s="11">
        <v>-3.5</v>
      </c>
      <c r="C5" s="12">
        <v>-2.3416000000000001</v>
      </c>
      <c r="D5" s="12">
        <v>4.2880000000000003</v>
      </c>
      <c r="E5" s="13">
        <f t="shared" si="1"/>
        <v>7.3415999999999997</v>
      </c>
      <c r="F5" s="14">
        <f t="shared" si="2"/>
        <v>0.71199999999999974</v>
      </c>
      <c r="G5" s="11">
        <v>100</v>
      </c>
      <c r="H5" s="15">
        <v>100000</v>
      </c>
      <c r="I5" s="15">
        <f t="shared" si="3"/>
        <v>1.1583999999999999E-2</v>
      </c>
      <c r="J5" s="15">
        <f t="shared" si="4"/>
        <v>4.2880000000000003E-5</v>
      </c>
      <c r="K5" s="16">
        <f t="shared" si="0"/>
        <v>270.14925373134326</v>
      </c>
      <c r="L5" s="19"/>
      <c r="M5" s="18">
        <f>L2/I5</f>
        <v>4143.6464088397797</v>
      </c>
      <c r="N5" s="15">
        <f t="shared" si="5"/>
        <v>0.46335999999999994</v>
      </c>
      <c r="O5" s="16">
        <f t="shared" si="6"/>
        <v>583.02238805970148</v>
      </c>
    </row>
    <row r="6" spans="1:15" x14ac:dyDescent="0.3">
      <c r="A6" s="11">
        <v>5</v>
      </c>
      <c r="B6" s="11">
        <v>-3</v>
      </c>
      <c r="C6" s="12">
        <v>-1.8528</v>
      </c>
      <c r="D6" s="12">
        <v>4.2880000000000003</v>
      </c>
      <c r="E6" s="13">
        <f t="shared" si="1"/>
        <v>6.8528000000000002</v>
      </c>
      <c r="F6" s="14">
        <f t="shared" si="2"/>
        <v>0.71199999999999974</v>
      </c>
      <c r="G6" s="11">
        <v>100</v>
      </c>
      <c r="H6" s="15">
        <v>100000</v>
      </c>
      <c r="I6" s="15">
        <f t="shared" si="3"/>
        <v>1.1472E-2</v>
      </c>
      <c r="J6" s="15">
        <f t="shared" si="4"/>
        <v>4.2880000000000003E-5</v>
      </c>
      <c r="K6" s="16">
        <f t="shared" si="0"/>
        <v>267.53731343283579</v>
      </c>
      <c r="L6" s="19"/>
      <c r="M6" s="18">
        <f>L2/I6</f>
        <v>4184.100418410042</v>
      </c>
      <c r="N6" s="15">
        <f t="shared" si="5"/>
        <v>0.45887999999999995</v>
      </c>
      <c r="O6" s="16">
        <f t="shared" si="6"/>
        <v>583.02238805970148</v>
      </c>
    </row>
    <row r="7" spans="1:15" x14ac:dyDescent="0.3">
      <c r="A7" s="11">
        <v>5</v>
      </c>
      <c r="B7" s="11">
        <v>-2.5</v>
      </c>
      <c r="C7" s="12">
        <v>-1.3620000000000001</v>
      </c>
      <c r="D7" s="12">
        <v>4.2895999999999903</v>
      </c>
      <c r="E7" s="13">
        <f t="shared" si="1"/>
        <v>6.3620000000000001</v>
      </c>
      <c r="F7" s="14">
        <f t="shared" si="2"/>
        <v>0.71040000000000969</v>
      </c>
      <c r="G7" s="11">
        <v>100</v>
      </c>
      <c r="H7" s="15">
        <v>100000</v>
      </c>
      <c r="I7" s="15">
        <f t="shared" si="3"/>
        <v>1.1379999999999999E-2</v>
      </c>
      <c r="J7" s="15">
        <f t="shared" si="4"/>
        <v>4.2895999999999902E-5</v>
      </c>
      <c r="K7" s="16">
        <f t="shared" si="0"/>
        <v>265.29280119358509</v>
      </c>
      <c r="L7" s="19"/>
      <c r="M7" s="18">
        <f>L2/I7</f>
        <v>4217.9261862917401</v>
      </c>
      <c r="N7" s="15">
        <f t="shared" si="5"/>
        <v>0.45519999999999994</v>
      </c>
      <c r="O7" s="16">
        <f t="shared" si="6"/>
        <v>582.80492353599539</v>
      </c>
    </row>
    <row r="8" spans="1:15" x14ac:dyDescent="0.3">
      <c r="A8" s="11">
        <v>5</v>
      </c>
      <c r="B8" s="11">
        <v>-2</v>
      </c>
      <c r="C8" s="12">
        <v>-0.87119999999999997</v>
      </c>
      <c r="D8" s="12">
        <v>4.2888000000000002</v>
      </c>
      <c r="E8" s="13">
        <f t="shared" si="1"/>
        <v>5.8712</v>
      </c>
      <c r="F8" s="14">
        <f t="shared" si="2"/>
        <v>0.71119999999999983</v>
      </c>
      <c r="G8" s="11">
        <v>100</v>
      </c>
      <c r="H8" s="15">
        <v>100000</v>
      </c>
      <c r="I8" s="15">
        <f t="shared" si="3"/>
        <v>1.1287999999999999E-2</v>
      </c>
      <c r="J8" s="15">
        <f t="shared" si="4"/>
        <v>4.2888E-5</v>
      </c>
      <c r="K8" s="16">
        <f t="shared" si="0"/>
        <v>263.19716470807685</v>
      </c>
      <c r="L8" s="19"/>
      <c r="M8" s="18">
        <f>L2/I8</f>
        <v>4252.3033309709426</v>
      </c>
      <c r="N8" s="15">
        <f t="shared" si="5"/>
        <v>0.45151999999999998</v>
      </c>
      <c r="O8" s="16">
        <f t="shared" si="6"/>
        <v>582.91363551576205</v>
      </c>
    </row>
    <row r="9" spans="1:15" x14ac:dyDescent="0.3">
      <c r="A9" s="11">
        <v>5</v>
      </c>
      <c r="B9" s="11">
        <v>-1.5</v>
      </c>
      <c r="C9" s="12">
        <v>-0.38800000000000001</v>
      </c>
      <c r="D9" s="12">
        <v>4.2888000000000002</v>
      </c>
      <c r="E9" s="13">
        <f t="shared" si="1"/>
        <v>5.3879999999999999</v>
      </c>
      <c r="F9" s="14">
        <f t="shared" si="2"/>
        <v>0.71119999999999983</v>
      </c>
      <c r="G9" s="11">
        <v>100</v>
      </c>
      <c r="H9" s="15">
        <v>100000</v>
      </c>
      <c r="I9" s="15">
        <f t="shared" si="3"/>
        <v>1.1120000000000001E-2</v>
      </c>
      <c r="J9" s="15">
        <f t="shared" si="4"/>
        <v>4.2888E-5</v>
      </c>
      <c r="K9" s="16">
        <f t="shared" si="0"/>
        <v>259.27998507741097</v>
      </c>
      <c r="L9" s="19"/>
      <c r="M9" s="18">
        <f>L2/I9</f>
        <v>4316.5467625899273</v>
      </c>
      <c r="N9" s="15">
        <f t="shared" si="5"/>
        <v>0.44480000000000003</v>
      </c>
      <c r="O9" s="16">
        <f t="shared" si="6"/>
        <v>582.91363551576205</v>
      </c>
    </row>
    <row r="10" spans="1:15" x14ac:dyDescent="0.3">
      <c r="A10" s="11">
        <v>5</v>
      </c>
      <c r="B10" s="11">
        <v>-1</v>
      </c>
      <c r="C10" s="12">
        <v>8.2000000000000003E-2</v>
      </c>
      <c r="D10" s="12">
        <v>4.2880000000000003</v>
      </c>
      <c r="E10" s="13">
        <f t="shared" si="1"/>
        <v>4.9180000000000001</v>
      </c>
      <c r="F10" s="14">
        <f t="shared" si="2"/>
        <v>0.71199999999999974</v>
      </c>
      <c r="G10" s="11">
        <v>100</v>
      </c>
      <c r="H10" s="15">
        <v>100000</v>
      </c>
      <c r="I10" s="15">
        <f t="shared" si="3"/>
        <v>1.0820000000000001E-2</v>
      </c>
      <c r="J10" s="15">
        <f t="shared" si="4"/>
        <v>4.2880000000000003E-5</v>
      </c>
      <c r="K10" s="16">
        <f t="shared" si="0"/>
        <v>252.33208955223881</v>
      </c>
      <c r="L10" s="19"/>
      <c r="M10" s="18">
        <f>L2/I10</f>
        <v>4436.2292051756003</v>
      </c>
      <c r="N10" s="15">
        <f t="shared" si="5"/>
        <v>0.43280000000000002</v>
      </c>
      <c r="O10" s="16">
        <f t="shared" si="6"/>
        <v>583.02238805970148</v>
      </c>
    </row>
    <row r="11" spans="1:15" x14ac:dyDescent="0.3">
      <c r="A11" s="11">
        <v>5</v>
      </c>
      <c r="B11" s="11">
        <v>-0.5</v>
      </c>
      <c r="C11" s="12">
        <v>0.56640000000000001</v>
      </c>
      <c r="D11" s="12">
        <v>4.2876000000000003</v>
      </c>
      <c r="E11" s="13">
        <f t="shared" si="1"/>
        <v>4.4336000000000002</v>
      </c>
      <c r="F11" s="14">
        <f t="shared" si="2"/>
        <v>0.7123999999999997</v>
      </c>
      <c r="G11" s="11">
        <v>100</v>
      </c>
      <c r="H11" s="15">
        <v>100000</v>
      </c>
      <c r="I11" s="15">
        <f t="shared" si="3"/>
        <v>1.0664E-2</v>
      </c>
      <c r="J11" s="15">
        <f t="shared" si="4"/>
        <v>4.2876000000000001E-5</v>
      </c>
      <c r="K11" s="16">
        <f t="shared" si="0"/>
        <v>248.71723108498927</v>
      </c>
      <c r="L11" s="19"/>
      <c r="M11" s="18">
        <f>L2/I11</f>
        <v>4501.12528132033</v>
      </c>
      <c r="N11" s="15">
        <f t="shared" si="5"/>
        <v>0.42655999999999999</v>
      </c>
      <c r="O11" s="16">
        <f t="shared" si="6"/>
        <v>583.07677955033125</v>
      </c>
    </row>
    <row r="12" spans="1:15" x14ac:dyDescent="0.3">
      <c r="A12" s="20">
        <v>4.5</v>
      </c>
      <c r="B12" s="20">
        <v>-5</v>
      </c>
      <c r="C12" s="21">
        <v>-3.9508000000000001</v>
      </c>
      <c r="D12" s="21">
        <v>3.7944</v>
      </c>
      <c r="E12" s="22">
        <f>A12-C12</f>
        <v>8.450800000000001</v>
      </c>
      <c r="F12" s="23">
        <f>A12-D12</f>
        <v>0.7056</v>
      </c>
      <c r="G12" s="20">
        <v>100</v>
      </c>
      <c r="H12" s="24">
        <v>100000</v>
      </c>
      <c r="I12" s="24">
        <f>(C12-B12)/G12</f>
        <v>1.0492E-2</v>
      </c>
      <c r="J12" s="24">
        <f>(D12-0)/H12</f>
        <v>3.7944000000000001E-5</v>
      </c>
      <c r="K12" s="25">
        <f t="shared" si="0"/>
        <v>276.51275563989037</v>
      </c>
      <c r="L12" s="26">
        <v>28</v>
      </c>
      <c r="M12" s="27">
        <f>L12/I12</f>
        <v>2668.699961875715</v>
      </c>
      <c r="N12" s="24">
        <f t="shared" si="5"/>
        <v>0.41967999999999994</v>
      </c>
      <c r="O12" s="25">
        <f t="shared" si="6"/>
        <v>658.86569681636092</v>
      </c>
    </row>
    <row r="13" spans="1:15" x14ac:dyDescent="0.3">
      <c r="A13" s="20">
        <v>4.5</v>
      </c>
      <c r="B13" s="20">
        <v>-4.5</v>
      </c>
      <c r="C13" s="21">
        <v>-3.4563999999999999</v>
      </c>
      <c r="D13" s="21">
        <v>3.7959999999999998</v>
      </c>
      <c r="E13" s="22">
        <f t="shared" ref="E13:E21" si="7">A13-C13</f>
        <v>7.9564000000000004</v>
      </c>
      <c r="F13" s="23">
        <f t="shared" ref="F13:F21" si="8">A13-D13</f>
        <v>0.70400000000000018</v>
      </c>
      <c r="G13" s="20">
        <v>100</v>
      </c>
      <c r="H13" s="24">
        <v>100000</v>
      </c>
      <c r="I13" s="24">
        <f t="shared" ref="I13:I21" si="9">(C13-B13)/G13</f>
        <v>1.0436000000000001E-2</v>
      </c>
      <c r="J13" s="24">
        <f t="shared" ref="J13:J21" si="10">(D13-0)/H13</f>
        <v>3.7959999999999996E-5</v>
      </c>
      <c r="K13" s="25">
        <f t="shared" si="0"/>
        <v>274.92096944151746</v>
      </c>
      <c r="L13" s="28"/>
      <c r="M13" s="27">
        <f>L12/I13</f>
        <v>2683.0203142966652</v>
      </c>
      <c r="N13" s="24">
        <f t="shared" si="5"/>
        <v>0.41744000000000003</v>
      </c>
      <c r="O13" s="25">
        <f t="shared" si="6"/>
        <v>658.58798735511073</v>
      </c>
    </row>
    <row r="14" spans="1:15" x14ac:dyDescent="0.3">
      <c r="A14" s="20">
        <v>4.5</v>
      </c>
      <c r="B14" s="20">
        <v>-4</v>
      </c>
      <c r="C14" s="21">
        <v>-2.9647999999999999</v>
      </c>
      <c r="D14" s="21">
        <v>3.7959999999999998</v>
      </c>
      <c r="E14" s="22">
        <f t="shared" si="7"/>
        <v>7.4648000000000003</v>
      </c>
      <c r="F14" s="23">
        <f t="shared" si="8"/>
        <v>0.70400000000000018</v>
      </c>
      <c r="G14" s="20">
        <v>100</v>
      </c>
      <c r="H14" s="24">
        <v>100000</v>
      </c>
      <c r="I14" s="24">
        <f t="shared" si="9"/>
        <v>1.0352000000000002E-2</v>
      </c>
      <c r="J14" s="24">
        <f t="shared" si="10"/>
        <v>3.7959999999999996E-5</v>
      </c>
      <c r="K14" s="25">
        <f t="shared" si="0"/>
        <v>272.70811380400431</v>
      </c>
      <c r="L14" s="28"/>
      <c r="M14" s="27">
        <f>L12/I14</f>
        <v>2704.7913446676966</v>
      </c>
      <c r="N14" s="24">
        <f t="shared" si="5"/>
        <v>0.41408000000000006</v>
      </c>
      <c r="O14" s="25">
        <f t="shared" si="6"/>
        <v>658.58798735511073</v>
      </c>
    </row>
    <row r="15" spans="1:15" x14ac:dyDescent="0.3">
      <c r="A15" s="20">
        <v>4.5</v>
      </c>
      <c r="B15" s="20">
        <v>-3.5</v>
      </c>
      <c r="C15" s="21">
        <v>-2.4752000000000001</v>
      </c>
      <c r="D15" s="21">
        <v>3.7959999999999998</v>
      </c>
      <c r="E15" s="22">
        <f t="shared" si="7"/>
        <v>6.9752000000000001</v>
      </c>
      <c r="F15" s="23">
        <f t="shared" si="8"/>
        <v>0.70400000000000018</v>
      </c>
      <c r="G15" s="20">
        <v>100</v>
      </c>
      <c r="H15" s="24">
        <v>100000</v>
      </c>
      <c r="I15" s="24">
        <f t="shared" si="9"/>
        <v>1.0248E-2</v>
      </c>
      <c r="J15" s="24">
        <f t="shared" si="10"/>
        <v>3.7959999999999996E-5</v>
      </c>
      <c r="K15" s="25">
        <f t="shared" si="0"/>
        <v>269.96838777660702</v>
      </c>
      <c r="L15" s="28"/>
      <c r="M15" s="27">
        <f>L12/I15</f>
        <v>2732.2404371584698</v>
      </c>
      <c r="N15" s="24">
        <f t="shared" si="5"/>
        <v>0.40992000000000001</v>
      </c>
      <c r="O15" s="25">
        <f t="shared" si="6"/>
        <v>658.58798735511073</v>
      </c>
    </row>
    <row r="16" spans="1:15" x14ac:dyDescent="0.3">
      <c r="A16" s="20">
        <v>4.5</v>
      </c>
      <c r="B16" s="20">
        <v>-3</v>
      </c>
      <c r="C16" s="21">
        <v>-1.988</v>
      </c>
      <c r="D16" s="21">
        <v>3.7959999999999998</v>
      </c>
      <c r="E16" s="22">
        <f t="shared" si="7"/>
        <v>6.4879999999999995</v>
      </c>
      <c r="F16" s="23">
        <f t="shared" si="8"/>
        <v>0.70400000000000018</v>
      </c>
      <c r="G16" s="20">
        <v>100</v>
      </c>
      <c r="H16" s="24">
        <v>100000</v>
      </c>
      <c r="I16" s="24">
        <f t="shared" si="9"/>
        <v>1.0120000000000001E-2</v>
      </c>
      <c r="J16" s="24">
        <f t="shared" si="10"/>
        <v>3.7959999999999996E-5</v>
      </c>
      <c r="K16" s="25">
        <f t="shared" si="0"/>
        <v>266.59641728134881</v>
      </c>
      <c r="L16" s="28"/>
      <c r="M16" s="27">
        <f>L12/I16</f>
        <v>2766.798418972332</v>
      </c>
      <c r="N16" s="24">
        <f t="shared" si="5"/>
        <v>0.40479999999999999</v>
      </c>
      <c r="O16" s="25">
        <f t="shared" si="6"/>
        <v>658.58798735511073</v>
      </c>
    </row>
    <row r="17" spans="1:15" x14ac:dyDescent="0.3">
      <c r="A17" s="20">
        <v>4.5</v>
      </c>
      <c r="B17" s="20">
        <v>-2.5</v>
      </c>
      <c r="C17" s="21">
        <v>-1.4984</v>
      </c>
      <c r="D17" s="21">
        <v>3.7959999999999998</v>
      </c>
      <c r="E17" s="22">
        <f t="shared" si="7"/>
        <v>5.9984000000000002</v>
      </c>
      <c r="F17" s="23">
        <f t="shared" si="8"/>
        <v>0.70400000000000018</v>
      </c>
      <c r="G17" s="20">
        <v>100</v>
      </c>
      <c r="H17" s="24">
        <v>100000</v>
      </c>
      <c r="I17" s="24">
        <f t="shared" si="9"/>
        <v>1.0016000000000001E-2</v>
      </c>
      <c r="J17" s="24">
        <f t="shared" si="10"/>
        <v>3.7959999999999996E-5</v>
      </c>
      <c r="K17" s="25">
        <f t="shared" si="0"/>
        <v>263.85669125395157</v>
      </c>
      <c r="L17" s="28"/>
      <c r="M17" s="27">
        <f>L12/I17</f>
        <v>2795.5271565495204</v>
      </c>
      <c r="N17" s="24">
        <f t="shared" si="5"/>
        <v>0.40064</v>
      </c>
      <c r="O17" s="25">
        <f t="shared" si="6"/>
        <v>658.58798735511073</v>
      </c>
    </row>
    <row r="18" spans="1:15" x14ac:dyDescent="0.3">
      <c r="A18" s="20">
        <v>4.5</v>
      </c>
      <c r="B18" s="20">
        <v>-2</v>
      </c>
      <c r="C18" s="21">
        <v>-1.0091999999999901</v>
      </c>
      <c r="D18" s="21">
        <v>3.7951999999999999</v>
      </c>
      <c r="E18" s="22">
        <f t="shared" si="7"/>
        <v>5.5091999999999901</v>
      </c>
      <c r="F18" s="23">
        <f t="shared" si="8"/>
        <v>0.70480000000000009</v>
      </c>
      <c r="G18" s="20">
        <v>100</v>
      </c>
      <c r="H18" s="24">
        <v>100000</v>
      </c>
      <c r="I18" s="24">
        <f t="shared" si="9"/>
        <v>9.908000000000099E-3</v>
      </c>
      <c r="J18" s="24">
        <f t="shared" si="10"/>
        <v>3.7951999999999998E-5</v>
      </c>
      <c r="K18" s="25">
        <f t="shared" si="0"/>
        <v>261.06661045531462</v>
      </c>
      <c r="L18" s="28"/>
      <c r="M18" s="27">
        <f>L12/I18</f>
        <v>2825.9991925716308</v>
      </c>
      <c r="N18" s="24">
        <f t="shared" si="5"/>
        <v>0.39632000000000395</v>
      </c>
      <c r="O18" s="25">
        <f t="shared" si="6"/>
        <v>658.72681281618895</v>
      </c>
    </row>
    <row r="19" spans="1:15" x14ac:dyDescent="0.3">
      <c r="A19" s="20">
        <v>4.5</v>
      </c>
      <c r="B19" s="20">
        <v>-1.5</v>
      </c>
      <c r="C19" s="21">
        <v>-0.52400000000000002</v>
      </c>
      <c r="D19" s="21">
        <v>3.7939999999999898</v>
      </c>
      <c r="E19" s="22">
        <f t="shared" si="7"/>
        <v>5.024</v>
      </c>
      <c r="F19" s="23">
        <f t="shared" si="8"/>
        <v>0.70600000000001017</v>
      </c>
      <c r="G19" s="20">
        <v>100</v>
      </c>
      <c r="H19" s="24">
        <v>100000</v>
      </c>
      <c r="I19" s="24">
        <f t="shared" si="9"/>
        <v>9.7599999999999996E-3</v>
      </c>
      <c r="J19" s="24">
        <f t="shared" si="10"/>
        <v>3.7939999999999898E-5</v>
      </c>
      <c r="K19" s="25">
        <f t="shared" si="0"/>
        <v>257.24828676858266</v>
      </c>
      <c r="L19" s="28"/>
      <c r="M19" s="27">
        <f>L12/I19</f>
        <v>2868.8524590163934</v>
      </c>
      <c r="N19" s="24">
        <f t="shared" si="5"/>
        <v>0.39039999999999997</v>
      </c>
      <c r="O19" s="25">
        <f t="shared" si="6"/>
        <v>658.93516078018104</v>
      </c>
    </row>
    <row r="20" spans="1:15" x14ac:dyDescent="0.3">
      <c r="A20" s="20">
        <v>4.5</v>
      </c>
      <c r="B20" s="20">
        <v>-1</v>
      </c>
      <c r="C20" s="21">
        <v>-5.4399999999999997E-2</v>
      </c>
      <c r="D20" s="21">
        <v>3.7939999999999898</v>
      </c>
      <c r="E20" s="22">
        <f t="shared" si="7"/>
        <v>4.5544000000000002</v>
      </c>
      <c r="F20" s="23">
        <f t="shared" si="8"/>
        <v>0.70600000000001017</v>
      </c>
      <c r="G20" s="20">
        <v>100</v>
      </c>
      <c r="H20" s="24">
        <v>100000</v>
      </c>
      <c r="I20" s="24">
        <f t="shared" si="9"/>
        <v>9.4559999999999991E-3</v>
      </c>
      <c r="J20" s="24">
        <f t="shared" si="10"/>
        <v>3.7939999999999898E-5</v>
      </c>
      <c r="K20" s="25">
        <f t="shared" si="0"/>
        <v>249.23563521349564</v>
      </c>
      <c r="L20" s="28"/>
      <c r="M20" s="27">
        <f>L12/I20</f>
        <v>2961.0829103214892</v>
      </c>
      <c r="N20" s="24">
        <f t="shared" si="5"/>
        <v>0.37823999999999997</v>
      </c>
      <c r="O20" s="25">
        <f t="shared" si="6"/>
        <v>658.93516078018104</v>
      </c>
    </row>
    <row r="21" spans="1:15" x14ac:dyDescent="0.3">
      <c r="A21" s="20">
        <v>4.5</v>
      </c>
      <c r="B21" s="20">
        <v>-0.5</v>
      </c>
      <c r="C21" s="21">
        <v>0.43240000000000001</v>
      </c>
      <c r="D21" s="21">
        <v>3.79239999999999</v>
      </c>
      <c r="E21" s="22">
        <f t="shared" si="7"/>
        <v>4.0675999999999997</v>
      </c>
      <c r="F21" s="23">
        <f t="shared" si="8"/>
        <v>0.70760000000001</v>
      </c>
      <c r="G21" s="20">
        <v>100</v>
      </c>
      <c r="H21" s="24">
        <v>100000</v>
      </c>
      <c r="I21" s="24">
        <f t="shared" si="9"/>
        <v>9.3240000000000007E-3</v>
      </c>
      <c r="J21" s="24">
        <f t="shared" si="10"/>
        <v>3.7923999999999903E-5</v>
      </c>
      <c r="K21" s="25">
        <f t="shared" si="0"/>
        <v>245.86014133530284</v>
      </c>
      <c r="L21" s="28"/>
      <c r="M21" s="27">
        <f>L12/I21</f>
        <v>3003.003003003003</v>
      </c>
      <c r="N21" s="24">
        <f t="shared" si="5"/>
        <v>0.37296000000000001</v>
      </c>
      <c r="O21" s="25">
        <f t="shared" si="6"/>
        <v>659.21316316844388</v>
      </c>
    </row>
    <row r="22" spans="1:15" x14ac:dyDescent="0.3">
      <c r="A22" s="29">
        <v>4</v>
      </c>
      <c r="B22" s="29">
        <v>-5</v>
      </c>
      <c r="C22" s="30">
        <v>-4.0975999999999999</v>
      </c>
      <c r="D22" s="30">
        <v>3.2995999999999999</v>
      </c>
      <c r="E22" s="31">
        <f>A22-C22</f>
        <v>8.0975999999999999</v>
      </c>
      <c r="F22" s="32">
        <f>A22-D22</f>
        <v>0.70040000000000013</v>
      </c>
      <c r="G22" s="29">
        <v>100</v>
      </c>
      <c r="H22" s="33">
        <v>100000</v>
      </c>
      <c r="I22" s="33">
        <f>(C22-B22)/G22</f>
        <v>9.0240000000000008E-3</v>
      </c>
      <c r="J22" s="33">
        <f>(D22-0)/H22</f>
        <v>3.2996000000000001E-5</v>
      </c>
      <c r="K22" s="34">
        <f t="shared" si="0"/>
        <v>273.4876954782398</v>
      </c>
      <c r="L22" s="35">
        <v>36</v>
      </c>
      <c r="M22" s="36">
        <f>L22/I22</f>
        <v>3989.3617021276591</v>
      </c>
      <c r="N22" s="33">
        <f t="shared" si="5"/>
        <v>0.36096</v>
      </c>
      <c r="O22" s="34">
        <f t="shared" si="6"/>
        <v>757.66759607225117</v>
      </c>
    </row>
    <row r="23" spans="1:15" x14ac:dyDescent="0.3">
      <c r="A23" s="29">
        <v>4</v>
      </c>
      <c r="B23" s="29">
        <v>-4.5</v>
      </c>
      <c r="C23" s="30">
        <v>-3.6012</v>
      </c>
      <c r="D23" s="30">
        <v>3.3</v>
      </c>
      <c r="E23" s="31">
        <f t="shared" ref="E23:E31" si="11">A23-C23</f>
        <v>7.6012000000000004</v>
      </c>
      <c r="F23" s="32">
        <f t="shared" ref="F23:F31" si="12">A23-D23</f>
        <v>0.70000000000000018</v>
      </c>
      <c r="G23" s="29">
        <v>100</v>
      </c>
      <c r="H23" s="33">
        <v>100000</v>
      </c>
      <c r="I23" s="33">
        <f t="shared" ref="I23:I31" si="13">(C23-B23)/G23</f>
        <v>8.9880000000000012E-3</v>
      </c>
      <c r="J23" s="33">
        <f t="shared" ref="J23:J31" si="14">(D23-0)/H23</f>
        <v>3.2999999999999996E-5</v>
      </c>
      <c r="K23" s="34">
        <f t="shared" si="0"/>
        <v>272.36363636363643</v>
      </c>
      <c r="L23" s="37"/>
      <c r="M23" s="36">
        <f>L22/I23</f>
        <v>4005.3404539385842</v>
      </c>
      <c r="N23" s="33">
        <f t="shared" si="5"/>
        <v>0.35952000000000001</v>
      </c>
      <c r="O23" s="34">
        <f t="shared" si="6"/>
        <v>757.57575757575773</v>
      </c>
    </row>
    <row r="24" spans="1:15" x14ac:dyDescent="0.3">
      <c r="A24" s="29">
        <v>4</v>
      </c>
      <c r="B24" s="29">
        <v>-4</v>
      </c>
      <c r="C24" s="30">
        <v>-3.1080000000000001</v>
      </c>
      <c r="D24" s="30">
        <v>3.3</v>
      </c>
      <c r="E24" s="31">
        <f t="shared" si="11"/>
        <v>7.1080000000000005</v>
      </c>
      <c r="F24" s="32">
        <f t="shared" si="12"/>
        <v>0.70000000000000018</v>
      </c>
      <c r="G24" s="29">
        <v>100</v>
      </c>
      <c r="H24" s="33">
        <v>100000</v>
      </c>
      <c r="I24" s="33">
        <f t="shared" si="13"/>
        <v>8.9199999999999991E-3</v>
      </c>
      <c r="J24" s="33">
        <f t="shared" si="14"/>
        <v>3.2999999999999996E-5</v>
      </c>
      <c r="K24" s="34">
        <f t="shared" si="0"/>
        <v>270.30303030303031</v>
      </c>
      <c r="L24" s="37"/>
      <c r="M24" s="36">
        <f>L22/I24</f>
        <v>4035.8744394618839</v>
      </c>
      <c r="N24" s="33">
        <f t="shared" si="5"/>
        <v>0.35679999999999995</v>
      </c>
      <c r="O24" s="34">
        <f t="shared" si="6"/>
        <v>757.57575757575773</v>
      </c>
    </row>
    <row r="25" spans="1:15" x14ac:dyDescent="0.3">
      <c r="A25" s="29">
        <v>4</v>
      </c>
      <c r="B25" s="29">
        <v>-3.5</v>
      </c>
      <c r="C25" s="30">
        <v>-2.6175999999999999</v>
      </c>
      <c r="D25" s="30">
        <v>3.3</v>
      </c>
      <c r="E25" s="31">
        <f t="shared" si="11"/>
        <v>6.6175999999999995</v>
      </c>
      <c r="F25" s="32">
        <f t="shared" si="12"/>
        <v>0.70000000000000018</v>
      </c>
      <c r="G25" s="29">
        <v>100</v>
      </c>
      <c r="H25" s="33">
        <v>100000</v>
      </c>
      <c r="I25" s="33">
        <f t="shared" si="13"/>
        <v>8.8240000000000002E-3</v>
      </c>
      <c r="J25" s="33">
        <f t="shared" si="14"/>
        <v>3.2999999999999996E-5</v>
      </c>
      <c r="K25" s="34">
        <f t="shared" si="0"/>
        <v>267.39393939393943</v>
      </c>
      <c r="L25" s="37"/>
      <c r="M25" s="36">
        <f>L22/I25</f>
        <v>4079.7824116047145</v>
      </c>
      <c r="N25" s="33">
        <f t="shared" si="5"/>
        <v>0.35296</v>
      </c>
      <c r="O25" s="34">
        <f t="shared" si="6"/>
        <v>757.57575757575773</v>
      </c>
    </row>
    <row r="26" spans="1:15" x14ac:dyDescent="0.3">
      <c r="A26" s="29">
        <v>4</v>
      </c>
      <c r="B26" s="29">
        <v>-3</v>
      </c>
      <c r="C26" s="30">
        <v>-2.1280000000000001</v>
      </c>
      <c r="D26" s="30">
        <v>3.3</v>
      </c>
      <c r="E26" s="31">
        <f t="shared" si="11"/>
        <v>6.1280000000000001</v>
      </c>
      <c r="F26" s="32">
        <f t="shared" si="12"/>
        <v>0.70000000000000018</v>
      </c>
      <c r="G26" s="29">
        <v>100</v>
      </c>
      <c r="H26" s="33">
        <v>100000</v>
      </c>
      <c r="I26" s="33">
        <f t="shared" si="13"/>
        <v>8.7199999999999986E-3</v>
      </c>
      <c r="J26" s="33">
        <f t="shared" si="14"/>
        <v>3.2999999999999996E-5</v>
      </c>
      <c r="K26" s="34">
        <f t="shared" si="0"/>
        <v>264.24242424242425</v>
      </c>
      <c r="L26" s="37"/>
      <c r="M26" s="36">
        <f>L22/I26</f>
        <v>4128.4403669724779</v>
      </c>
      <c r="N26" s="33">
        <f t="shared" si="5"/>
        <v>0.34879999999999994</v>
      </c>
      <c r="O26" s="34">
        <f t="shared" si="6"/>
        <v>757.57575757575773</v>
      </c>
    </row>
    <row r="27" spans="1:15" x14ac:dyDescent="0.3">
      <c r="A27" s="29">
        <v>4</v>
      </c>
      <c r="B27" s="29">
        <v>-2.5</v>
      </c>
      <c r="C27" s="30">
        <v>-1.6352</v>
      </c>
      <c r="D27" s="30">
        <v>3.3</v>
      </c>
      <c r="E27" s="31">
        <f t="shared" si="11"/>
        <v>5.6352000000000002</v>
      </c>
      <c r="F27" s="32">
        <f t="shared" si="12"/>
        <v>0.70000000000000018</v>
      </c>
      <c r="G27" s="29">
        <v>100</v>
      </c>
      <c r="H27" s="33">
        <v>100000</v>
      </c>
      <c r="I27" s="33">
        <f t="shared" si="13"/>
        <v>8.6479999999999994E-3</v>
      </c>
      <c r="J27" s="33">
        <f t="shared" si="14"/>
        <v>3.2999999999999996E-5</v>
      </c>
      <c r="K27" s="34">
        <f t="shared" si="0"/>
        <v>262.06060606060606</v>
      </c>
      <c r="L27" s="37"/>
      <c r="M27" s="36">
        <f>L22/I27</f>
        <v>4162.8122109158194</v>
      </c>
      <c r="N27" s="33">
        <f t="shared" si="5"/>
        <v>0.34591999999999995</v>
      </c>
      <c r="O27" s="34">
        <f t="shared" si="6"/>
        <v>757.57575757575773</v>
      </c>
    </row>
    <row r="28" spans="1:15" x14ac:dyDescent="0.3">
      <c r="A28" s="29">
        <v>4</v>
      </c>
      <c r="B28" s="29">
        <v>-2</v>
      </c>
      <c r="C28" s="30">
        <v>-1.1488</v>
      </c>
      <c r="D28" s="30">
        <v>3.3</v>
      </c>
      <c r="E28" s="31">
        <f t="shared" si="11"/>
        <v>5.1487999999999996</v>
      </c>
      <c r="F28" s="32">
        <f t="shared" si="12"/>
        <v>0.70000000000000018</v>
      </c>
      <c r="G28" s="29">
        <v>100</v>
      </c>
      <c r="H28" s="33">
        <v>100000</v>
      </c>
      <c r="I28" s="33">
        <f t="shared" si="13"/>
        <v>8.5119999999999987E-3</v>
      </c>
      <c r="J28" s="33">
        <f t="shared" si="14"/>
        <v>3.2999999999999996E-5</v>
      </c>
      <c r="K28" s="34">
        <f t="shared" si="0"/>
        <v>257.93939393939394</v>
      </c>
      <c r="L28" s="37"/>
      <c r="M28" s="36">
        <f>L22/I28</f>
        <v>4229.3233082706774</v>
      </c>
      <c r="N28" s="33">
        <f t="shared" si="5"/>
        <v>0.34047999999999995</v>
      </c>
      <c r="O28" s="34">
        <f t="shared" si="6"/>
        <v>757.57575757575773</v>
      </c>
    </row>
    <row r="29" spans="1:15" x14ac:dyDescent="0.3">
      <c r="A29" s="29">
        <v>4</v>
      </c>
      <c r="B29" s="29">
        <v>-1.5</v>
      </c>
      <c r="C29" s="30">
        <v>-0.66200000000000003</v>
      </c>
      <c r="D29" s="30">
        <v>3.2991999999999999</v>
      </c>
      <c r="E29" s="31">
        <f t="shared" si="11"/>
        <v>4.6619999999999999</v>
      </c>
      <c r="F29" s="32">
        <f t="shared" si="12"/>
        <v>0.70080000000000009</v>
      </c>
      <c r="G29" s="29">
        <v>100</v>
      </c>
      <c r="H29" s="33">
        <v>100000</v>
      </c>
      <c r="I29" s="33">
        <f t="shared" si="13"/>
        <v>8.3800000000000003E-3</v>
      </c>
      <c r="J29" s="33">
        <f t="shared" si="14"/>
        <v>3.2991999999999999E-5</v>
      </c>
      <c r="K29" s="34">
        <f t="shared" si="0"/>
        <v>254.00096993210477</v>
      </c>
      <c r="L29" s="37"/>
      <c r="M29" s="36">
        <f>L22/I29</f>
        <v>4295.9427207637227</v>
      </c>
      <c r="N29" s="33">
        <f t="shared" si="5"/>
        <v>0.3352</v>
      </c>
      <c r="O29" s="34">
        <f t="shared" si="6"/>
        <v>757.75945683802138</v>
      </c>
    </row>
    <row r="30" spans="1:15" x14ac:dyDescent="0.3">
      <c r="A30" s="29">
        <v>4</v>
      </c>
      <c r="B30" s="29">
        <v>-1</v>
      </c>
      <c r="C30" s="30">
        <v>-0.18839999999999901</v>
      </c>
      <c r="D30" s="30">
        <v>3.2976000000000001</v>
      </c>
      <c r="E30" s="31">
        <f t="shared" si="11"/>
        <v>4.1883999999999988</v>
      </c>
      <c r="F30" s="32">
        <f t="shared" si="12"/>
        <v>0.70239999999999991</v>
      </c>
      <c r="G30" s="29">
        <v>100</v>
      </c>
      <c r="H30" s="33">
        <v>100000</v>
      </c>
      <c r="I30" s="33">
        <f t="shared" si="13"/>
        <v>8.1160000000000104E-3</v>
      </c>
      <c r="J30" s="33">
        <f t="shared" si="14"/>
        <v>3.2976000000000004E-5</v>
      </c>
      <c r="K30" s="34">
        <f t="shared" si="0"/>
        <v>246.11838913148986</v>
      </c>
      <c r="L30" s="37"/>
      <c r="M30" s="36">
        <f>L22/I30</f>
        <v>4435.6826022671212</v>
      </c>
      <c r="N30" s="33">
        <f t="shared" si="5"/>
        <v>0.32464000000000037</v>
      </c>
      <c r="O30" s="34">
        <f t="shared" si="6"/>
        <v>758.12712275594367</v>
      </c>
    </row>
    <row r="31" spans="1:15" x14ac:dyDescent="0.3">
      <c r="A31" s="29">
        <v>4</v>
      </c>
      <c r="B31" s="29">
        <v>-0.5</v>
      </c>
      <c r="C31" s="30">
        <v>0.30159999999999998</v>
      </c>
      <c r="D31" s="30">
        <v>3.2959999999999998</v>
      </c>
      <c r="E31" s="31">
        <f t="shared" si="11"/>
        <v>3.6983999999999999</v>
      </c>
      <c r="F31" s="32">
        <f t="shared" si="12"/>
        <v>0.70400000000000018</v>
      </c>
      <c r="G31" s="29">
        <v>100</v>
      </c>
      <c r="H31" s="33">
        <v>100000</v>
      </c>
      <c r="I31" s="33">
        <f t="shared" si="13"/>
        <v>8.0160000000000006E-3</v>
      </c>
      <c r="J31" s="33">
        <f t="shared" si="14"/>
        <v>3.2959999999999996E-5</v>
      </c>
      <c r="K31" s="34">
        <f t="shared" si="0"/>
        <v>243.20388349514567</v>
      </c>
      <c r="L31" s="37"/>
      <c r="M31" s="36">
        <f>L22/I31</f>
        <v>4491.0179640718561</v>
      </c>
      <c r="N31" s="33">
        <f t="shared" si="5"/>
        <v>0.32063999999999998</v>
      </c>
      <c r="O31" s="34">
        <f t="shared" si="6"/>
        <v>758.49514563106811</v>
      </c>
    </row>
    <row r="32" spans="1:15" x14ac:dyDescent="0.3">
      <c r="A32" s="38">
        <v>3.5</v>
      </c>
      <c r="B32" s="38">
        <v>-5</v>
      </c>
      <c r="C32" s="39">
        <v>-4.2416</v>
      </c>
      <c r="D32" s="39">
        <v>2.8052000000000001</v>
      </c>
      <c r="E32" s="40">
        <f>A32-C32</f>
        <v>7.7416</v>
      </c>
      <c r="F32" s="41">
        <f>A32-D32</f>
        <v>0.69479999999999986</v>
      </c>
      <c r="G32" s="38">
        <v>100</v>
      </c>
      <c r="H32" s="42">
        <v>100000</v>
      </c>
      <c r="I32" s="42">
        <f>(C32-B32)/G32</f>
        <v>7.5839999999999996E-3</v>
      </c>
      <c r="J32" s="42">
        <f>(D32-0)/H32</f>
        <v>2.8052000000000002E-5</v>
      </c>
      <c r="K32" s="43">
        <f t="shared" si="0"/>
        <v>270.35505489804643</v>
      </c>
      <c r="L32" s="44">
        <v>30</v>
      </c>
      <c r="M32" s="45">
        <f>L32/I32</f>
        <v>3955.6962025316457</v>
      </c>
      <c r="N32" s="42">
        <f t="shared" si="5"/>
        <v>0.30335999999999996</v>
      </c>
      <c r="O32" s="43">
        <f t="shared" si="6"/>
        <v>891.20205332953083</v>
      </c>
    </row>
    <row r="33" spans="1:15" x14ac:dyDescent="0.3">
      <c r="A33" s="38">
        <v>3.5</v>
      </c>
      <c r="B33" s="38">
        <v>-4.5</v>
      </c>
      <c r="C33" s="39">
        <v>-3.746</v>
      </c>
      <c r="D33" s="39">
        <v>2.806</v>
      </c>
      <c r="E33" s="40">
        <f t="shared" ref="E33:E41" si="15">A33-C33</f>
        <v>7.2460000000000004</v>
      </c>
      <c r="F33" s="41">
        <f t="shared" ref="F33:F41" si="16">A33-D33</f>
        <v>0.69399999999999995</v>
      </c>
      <c r="G33" s="38">
        <v>100</v>
      </c>
      <c r="H33" s="42">
        <v>100000</v>
      </c>
      <c r="I33" s="42">
        <f t="shared" ref="I33:I41" si="17">(C33-B33)/G33</f>
        <v>7.5399999999999998E-3</v>
      </c>
      <c r="J33" s="42">
        <f t="shared" ref="J33:J41" si="18">(D33-0)/H33</f>
        <v>2.8059999999999999E-5</v>
      </c>
      <c r="K33" s="43">
        <f t="shared" si="0"/>
        <v>268.70990734141128</v>
      </c>
      <c r="L33" s="46"/>
      <c r="M33" s="45">
        <f>L32/I33</f>
        <v>3978.7798408488065</v>
      </c>
      <c r="N33" s="42">
        <f t="shared" si="5"/>
        <v>0.30159999999999998</v>
      </c>
      <c r="O33" s="43">
        <f t="shared" si="6"/>
        <v>890.94796863863155</v>
      </c>
    </row>
    <row r="34" spans="1:15" x14ac:dyDescent="0.3">
      <c r="A34" s="38">
        <v>3.5</v>
      </c>
      <c r="B34" s="38">
        <v>-4</v>
      </c>
      <c r="C34" s="39">
        <v>-3.2524000000000002</v>
      </c>
      <c r="D34" s="39">
        <v>2.806</v>
      </c>
      <c r="E34" s="40">
        <f t="shared" si="15"/>
        <v>6.7523999999999997</v>
      </c>
      <c r="F34" s="41">
        <f t="shared" si="16"/>
        <v>0.69399999999999995</v>
      </c>
      <c r="G34" s="38">
        <v>100</v>
      </c>
      <c r="H34" s="42">
        <v>100000</v>
      </c>
      <c r="I34" s="42">
        <f t="shared" si="17"/>
        <v>7.4759999999999983E-3</v>
      </c>
      <c r="J34" s="42">
        <f t="shared" si="18"/>
        <v>2.8059999999999999E-5</v>
      </c>
      <c r="K34" s="43">
        <f t="shared" si="0"/>
        <v>266.42908054169629</v>
      </c>
      <c r="L34" s="46"/>
      <c r="M34" s="45">
        <f>L32/I34</f>
        <v>4012.8410914927777</v>
      </c>
      <c r="N34" s="42">
        <f t="shared" si="5"/>
        <v>0.29903999999999992</v>
      </c>
      <c r="O34" s="43">
        <f t="shared" si="6"/>
        <v>890.94796863863155</v>
      </c>
    </row>
    <row r="35" spans="1:15" x14ac:dyDescent="0.3">
      <c r="A35" s="38">
        <v>3.5</v>
      </c>
      <c r="B35" s="38">
        <v>-3.5</v>
      </c>
      <c r="C35" s="39">
        <v>-2.7608000000000001</v>
      </c>
      <c r="D35" s="39">
        <v>2.806</v>
      </c>
      <c r="E35" s="40">
        <f t="shared" si="15"/>
        <v>6.2607999999999997</v>
      </c>
      <c r="F35" s="41">
        <f t="shared" si="16"/>
        <v>0.69399999999999995</v>
      </c>
      <c r="G35" s="38">
        <v>100</v>
      </c>
      <c r="H35" s="42">
        <v>100000</v>
      </c>
      <c r="I35" s="42">
        <f t="shared" si="17"/>
        <v>7.3919999999999984E-3</v>
      </c>
      <c r="J35" s="42">
        <f t="shared" si="18"/>
        <v>2.8059999999999999E-5</v>
      </c>
      <c r="K35" s="43">
        <f t="shared" si="0"/>
        <v>263.43549536707053</v>
      </c>
      <c r="L35" s="46"/>
      <c r="M35" s="45">
        <f>L32/I35</f>
        <v>4058.4415584415592</v>
      </c>
      <c r="N35" s="42">
        <f t="shared" si="5"/>
        <v>0.29567999999999994</v>
      </c>
      <c r="O35" s="43">
        <f t="shared" si="6"/>
        <v>890.94796863863155</v>
      </c>
    </row>
    <row r="36" spans="1:15" x14ac:dyDescent="0.3">
      <c r="A36" s="38">
        <v>3.5</v>
      </c>
      <c r="B36" s="38">
        <v>-3</v>
      </c>
      <c r="C36" s="39">
        <v>-2.2656000000000001</v>
      </c>
      <c r="D36" s="39">
        <v>2.806</v>
      </c>
      <c r="E36" s="40">
        <f t="shared" si="15"/>
        <v>5.7656000000000001</v>
      </c>
      <c r="F36" s="41">
        <f t="shared" si="16"/>
        <v>0.69399999999999995</v>
      </c>
      <c r="G36" s="38">
        <v>100</v>
      </c>
      <c r="H36" s="42">
        <v>100000</v>
      </c>
      <c r="I36" s="42">
        <f t="shared" si="17"/>
        <v>7.3439999999999998E-3</v>
      </c>
      <c r="J36" s="42">
        <f t="shared" si="18"/>
        <v>2.8059999999999999E-5</v>
      </c>
      <c r="K36" s="43">
        <f t="shared" si="0"/>
        <v>261.7248752672844</v>
      </c>
      <c r="L36" s="46"/>
      <c r="M36" s="45">
        <f>L32/I36</f>
        <v>4084.9673202614381</v>
      </c>
      <c r="N36" s="42">
        <f t="shared" si="5"/>
        <v>0.29375999999999997</v>
      </c>
      <c r="O36" s="43">
        <f t="shared" si="6"/>
        <v>890.94796863863155</v>
      </c>
    </row>
    <row r="37" spans="1:15" x14ac:dyDescent="0.3">
      <c r="A37" s="38">
        <v>3.5</v>
      </c>
      <c r="B37" s="38">
        <v>-2.5</v>
      </c>
      <c r="C37" s="39">
        <v>-1.7744</v>
      </c>
      <c r="D37" s="39">
        <v>2.8056000000000001</v>
      </c>
      <c r="E37" s="40">
        <f t="shared" si="15"/>
        <v>5.2744</v>
      </c>
      <c r="F37" s="41">
        <f t="shared" si="16"/>
        <v>0.69439999999999991</v>
      </c>
      <c r="G37" s="38">
        <v>100</v>
      </c>
      <c r="H37" s="42">
        <v>100000</v>
      </c>
      <c r="I37" s="42">
        <f t="shared" si="17"/>
        <v>7.2560000000000003E-3</v>
      </c>
      <c r="J37" s="42">
        <f t="shared" si="18"/>
        <v>2.8056E-5</v>
      </c>
      <c r="K37" s="43">
        <f t="shared" si="0"/>
        <v>258.62560593099516</v>
      </c>
      <c r="L37" s="46"/>
      <c r="M37" s="45">
        <f>L32/I37</f>
        <v>4134.5093715545754</v>
      </c>
      <c r="N37" s="42">
        <f t="shared" si="5"/>
        <v>0.29024</v>
      </c>
      <c r="O37" s="43">
        <f t="shared" si="6"/>
        <v>891.07499287140013</v>
      </c>
    </row>
    <row r="38" spans="1:15" x14ac:dyDescent="0.3">
      <c r="A38" s="38">
        <v>3.5</v>
      </c>
      <c r="B38" s="38">
        <v>-2</v>
      </c>
      <c r="C38" s="39">
        <v>-1.2844</v>
      </c>
      <c r="D38" s="39">
        <v>2.8039999999999998</v>
      </c>
      <c r="E38" s="40">
        <f t="shared" si="15"/>
        <v>4.7843999999999998</v>
      </c>
      <c r="F38" s="41">
        <f t="shared" si="16"/>
        <v>0.69600000000000017</v>
      </c>
      <c r="G38" s="38">
        <v>100</v>
      </c>
      <c r="H38" s="42">
        <v>100000</v>
      </c>
      <c r="I38" s="42">
        <f t="shared" si="17"/>
        <v>7.156E-3</v>
      </c>
      <c r="J38" s="42">
        <f t="shared" si="18"/>
        <v>2.8039999999999999E-5</v>
      </c>
      <c r="K38" s="43">
        <f t="shared" si="0"/>
        <v>255.206847360913</v>
      </c>
      <c r="L38" s="46"/>
      <c r="M38" s="45">
        <f>L32/I38</f>
        <v>4192.2861934041366</v>
      </c>
      <c r="N38" s="42">
        <f t="shared" si="5"/>
        <v>0.28623999999999999</v>
      </c>
      <c r="O38" s="43">
        <f t="shared" si="6"/>
        <v>891.583452211127</v>
      </c>
    </row>
    <row r="39" spans="1:15" x14ac:dyDescent="0.3">
      <c r="A39" s="38">
        <v>3.5</v>
      </c>
      <c r="B39" s="38">
        <v>-1.5</v>
      </c>
      <c r="C39" s="39">
        <v>-0.79479999999999995</v>
      </c>
      <c r="D39" s="39">
        <v>2.8023999999999898</v>
      </c>
      <c r="E39" s="40">
        <f t="shared" si="15"/>
        <v>4.2948000000000004</v>
      </c>
      <c r="F39" s="41">
        <f t="shared" si="16"/>
        <v>0.69760000000001021</v>
      </c>
      <c r="G39" s="38">
        <v>100</v>
      </c>
      <c r="H39" s="42">
        <v>100000</v>
      </c>
      <c r="I39" s="42">
        <f t="shared" si="17"/>
        <v>7.0520000000000001E-3</v>
      </c>
      <c r="J39" s="42">
        <f t="shared" si="18"/>
        <v>2.8023999999999896E-5</v>
      </c>
      <c r="K39" s="43">
        <f t="shared" si="0"/>
        <v>251.64145018555618</v>
      </c>
      <c r="L39" s="46"/>
      <c r="M39" s="45">
        <f>L32/I39</f>
        <v>4254.112308564946</v>
      </c>
      <c r="N39" s="42">
        <f t="shared" si="5"/>
        <v>0.28208</v>
      </c>
      <c r="O39" s="43">
        <f t="shared" si="6"/>
        <v>892.09249214958936</v>
      </c>
    </row>
    <row r="40" spans="1:15" x14ac:dyDescent="0.3">
      <c r="A40" s="38">
        <v>3.5</v>
      </c>
      <c r="B40" s="38">
        <v>-1</v>
      </c>
      <c r="C40" s="39">
        <v>-0.31919999999999998</v>
      </c>
      <c r="D40" s="39">
        <v>2.802</v>
      </c>
      <c r="E40" s="40">
        <f t="shared" si="15"/>
        <v>3.8191999999999999</v>
      </c>
      <c r="F40" s="41">
        <f t="shared" si="16"/>
        <v>0.69799999999999995</v>
      </c>
      <c r="G40" s="38">
        <v>100</v>
      </c>
      <c r="H40" s="42">
        <v>100000</v>
      </c>
      <c r="I40" s="42">
        <f t="shared" si="17"/>
        <v>6.8080000000000007E-3</v>
      </c>
      <c r="J40" s="42">
        <f t="shared" si="18"/>
        <v>2.8019999999999999E-5</v>
      </c>
      <c r="K40" s="43">
        <f t="shared" si="0"/>
        <v>242.9693076374019</v>
      </c>
      <c r="L40" s="46"/>
      <c r="M40" s="45">
        <f>L32/I40</f>
        <v>4406.5804935370152</v>
      </c>
      <c r="N40" s="42">
        <f t="shared" si="5"/>
        <v>0.27232000000000001</v>
      </c>
      <c r="O40" s="43">
        <f t="shared" si="6"/>
        <v>892.21984296930771</v>
      </c>
    </row>
    <row r="41" spans="1:15" x14ac:dyDescent="0.3">
      <c r="A41" s="38">
        <v>3.5</v>
      </c>
      <c r="B41" s="38">
        <v>-0.5</v>
      </c>
      <c r="C41" s="39">
        <v>0.16880000000000001</v>
      </c>
      <c r="D41" s="39">
        <v>2.8012000000000001</v>
      </c>
      <c r="E41" s="40">
        <f t="shared" si="15"/>
        <v>3.3311999999999999</v>
      </c>
      <c r="F41" s="41">
        <f t="shared" si="16"/>
        <v>0.69879999999999987</v>
      </c>
      <c r="G41" s="38">
        <v>100</v>
      </c>
      <c r="H41" s="42">
        <v>100000</v>
      </c>
      <c r="I41" s="42">
        <f t="shared" si="17"/>
        <v>6.6880000000000004E-3</v>
      </c>
      <c r="J41" s="42">
        <f t="shared" si="18"/>
        <v>2.8012000000000002E-5</v>
      </c>
      <c r="K41" s="43">
        <f t="shared" si="0"/>
        <v>238.75481936313008</v>
      </c>
      <c r="L41" s="46"/>
      <c r="M41" s="45">
        <f>L32/I41</f>
        <v>4485.6459330143534</v>
      </c>
      <c r="N41" s="42">
        <f t="shared" si="5"/>
        <v>0.26751999999999998</v>
      </c>
      <c r="O41" s="43">
        <f t="shared" si="6"/>
        <v>892.47465371983435</v>
      </c>
    </row>
    <row r="42" spans="1:15" x14ac:dyDescent="0.3">
      <c r="A42" s="11">
        <v>3</v>
      </c>
      <c r="B42" s="11">
        <v>-5</v>
      </c>
      <c r="C42" s="12">
        <v>-4.3864000000000001</v>
      </c>
      <c r="D42" s="12">
        <v>2.306</v>
      </c>
      <c r="E42" s="13">
        <f>A42-C42</f>
        <v>7.3864000000000001</v>
      </c>
      <c r="F42" s="14">
        <f>A42-D42</f>
        <v>0.69399999999999995</v>
      </c>
      <c r="G42" s="11">
        <v>100</v>
      </c>
      <c r="H42" s="15">
        <v>100000</v>
      </c>
      <c r="I42" s="15">
        <f>(C42-B42)/G42</f>
        <v>6.1359999999999991E-3</v>
      </c>
      <c r="J42" s="15">
        <f>(D42-0)/H42</f>
        <v>2.3059999999999999E-5</v>
      </c>
      <c r="K42" s="16">
        <f t="shared" si="0"/>
        <v>266.08846487424108</v>
      </c>
      <c r="L42" s="17">
        <v>25</v>
      </c>
      <c r="M42" s="18">
        <f>L42/I42</f>
        <v>4074.3155149934819</v>
      </c>
      <c r="N42" s="15">
        <f t="shared" si="5"/>
        <v>0.24543999999999996</v>
      </c>
      <c r="O42" s="16">
        <f t="shared" si="6"/>
        <v>1084.1283607979185</v>
      </c>
    </row>
    <row r="43" spans="1:15" x14ac:dyDescent="0.3">
      <c r="A43" s="11">
        <v>3</v>
      </c>
      <c r="B43" s="11">
        <v>-4.5</v>
      </c>
      <c r="C43" s="12">
        <v>-3.8899999999999899</v>
      </c>
      <c r="D43" s="12">
        <v>2.3068</v>
      </c>
      <c r="E43" s="13">
        <f t="shared" ref="E43:E51" si="19">A43-C43</f>
        <v>6.8899999999999899</v>
      </c>
      <c r="F43" s="14">
        <f t="shared" ref="F43:F51" si="20">A43-D43</f>
        <v>0.69320000000000004</v>
      </c>
      <c r="G43" s="11">
        <v>100</v>
      </c>
      <c r="H43" s="15">
        <v>100000</v>
      </c>
      <c r="I43" s="15">
        <f t="shared" ref="I43:I51" si="21">(C43-B43)/G43</f>
        <v>6.100000000000101E-3</v>
      </c>
      <c r="J43" s="15">
        <f t="shared" ref="J43:J51" si="22">(D43-0)/H43</f>
        <v>2.3068E-5</v>
      </c>
      <c r="K43" s="16">
        <f t="shared" si="0"/>
        <v>264.43558175828423</v>
      </c>
      <c r="L43" s="47"/>
      <c r="M43" s="18">
        <f>L42/I43</f>
        <v>4098.360655737637</v>
      </c>
      <c r="N43" s="15">
        <f t="shared" si="5"/>
        <v>0.24400000000000402</v>
      </c>
      <c r="O43" s="16">
        <f t="shared" si="6"/>
        <v>1083.7523842552455</v>
      </c>
    </row>
    <row r="44" spans="1:15" x14ac:dyDescent="0.3">
      <c r="A44" s="11">
        <v>3</v>
      </c>
      <c r="B44" s="11">
        <v>-4</v>
      </c>
      <c r="C44" s="12">
        <v>-3.3939999999999899</v>
      </c>
      <c r="D44" s="12">
        <v>2.3075999999999999</v>
      </c>
      <c r="E44" s="13">
        <f t="shared" si="19"/>
        <v>6.3939999999999895</v>
      </c>
      <c r="F44" s="14">
        <f t="shared" si="20"/>
        <v>0.69240000000000013</v>
      </c>
      <c r="G44" s="11">
        <v>100</v>
      </c>
      <c r="H44" s="15">
        <v>100000</v>
      </c>
      <c r="I44" s="15">
        <f t="shared" si="21"/>
        <v>6.0600000000001009E-3</v>
      </c>
      <c r="J44" s="15">
        <f t="shared" si="22"/>
        <v>2.3075999999999997E-5</v>
      </c>
      <c r="K44" s="16">
        <f t="shared" si="0"/>
        <v>262.6105044201812</v>
      </c>
      <c r="L44" s="47"/>
      <c r="M44" s="18">
        <f>L42/I44</f>
        <v>4125.412541254057</v>
      </c>
      <c r="N44" s="15">
        <f t="shared" si="5"/>
        <v>0.24240000000000403</v>
      </c>
      <c r="O44" s="16">
        <f t="shared" si="6"/>
        <v>1083.3766684000695</v>
      </c>
    </row>
    <row r="45" spans="1:15" x14ac:dyDescent="0.3">
      <c r="A45" s="11">
        <v>3</v>
      </c>
      <c r="B45" s="11">
        <v>-3.5</v>
      </c>
      <c r="C45" s="12">
        <v>-2.9</v>
      </c>
      <c r="D45" s="12">
        <v>2.3075999999999999</v>
      </c>
      <c r="E45" s="13">
        <f t="shared" si="19"/>
        <v>5.9</v>
      </c>
      <c r="F45" s="14">
        <f t="shared" si="20"/>
        <v>0.69240000000000013</v>
      </c>
      <c r="G45" s="11">
        <v>100</v>
      </c>
      <c r="H45" s="15">
        <v>100000</v>
      </c>
      <c r="I45" s="15">
        <f t="shared" si="21"/>
        <v>6.000000000000001E-3</v>
      </c>
      <c r="J45" s="15">
        <f t="shared" si="22"/>
        <v>2.3075999999999997E-5</v>
      </c>
      <c r="K45" s="16">
        <f t="shared" si="0"/>
        <v>260.01040041601669</v>
      </c>
      <c r="L45" s="47"/>
      <c r="M45" s="18">
        <f>L42/I45</f>
        <v>4166.6666666666661</v>
      </c>
      <c r="N45" s="15">
        <f t="shared" si="5"/>
        <v>0.24000000000000002</v>
      </c>
      <c r="O45" s="16">
        <f t="shared" si="6"/>
        <v>1083.3766684000695</v>
      </c>
    </row>
    <row r="46" spans="1:15" x14ac:dyDescent="0.3">
      <c r="A46" s="11">
        <v>3</v>
      </c>
      <c r="B46" s="11">
        <v>-3</v>
      </c>
      <c r="C46" s="12">
        <v>-2.4036</v>
      </c>
      <c r="D46" s="12">
        <v>2.3068</v>
      </c>
      <c r="E46" s="13">
        <f t="shared" si="19"/>
        <v>5.4036</v>
      </c>
      <c r="F46" s="14">
        <f t="shared" si="20"/>
        <v>0.69320000000000004</v>
      </c>
      <c r="G46" s="11">
        <v>100</v>
      </c>
      <c r="H46" s="15">
        <v>100000</v>
      </c>
      <c r="I46" s="15">
        <f t="shared" si="21"/>
        <v>5.9640000000000006E-3</v>
      </c>
      <c r="J46" s="15">
        <f t="shared" si="22"/>
        <v>2.3068E-5</v>
      </c>
      <c r="K46" s="16">
        <f t="shared" si="0"/>
        <v>258.53996878793134</v>
      </c>
      <c r="L46" s="47"/>
      <c r="M46" s="18">
        <f>L42/I46</f>
        <v>4191.8175720992622</v>
      </c>
      <c r="N46" s="15">
        <f t="shared" si="5"/>
        <v>0.23856000000000002</v>
      </c>
      <c r="O46" s="16">
        <f t="shared" si="6"/>
        <v>1083.7523842552455</v>
      </c>
    </row>
    <row r="47" spans="1:15" x14ac:dyDescent="0.3">
      <c r="A47" s="11">
        <v>3</v>
      </c>
      <c r="B47" s="11">
        <v>-2.5</v>
      </c>
      <c r="C47" s="12">
        <v>-1.9132</v>
      </c>
      <c r="D47" s="12">
        <v>2.3052000000000001</v>
      </c>
      <c r="E47" s="13">
        <f t="shared" si="19"/>
        <v>4.9131999999999998</v>
      </c>
      <c r="F47" s="14">
        <f t="shared" si="20"/>
        <v>0.69479999999999986</v>
      </c>
      <c r="G47" s="11">
        <v>100</v>
      </c>
      <c r="H47" s="15">
        <v>100000</v>
      </c>
      <c r="I47" s="15">
        <f t="shared" si="21"/>
        <v>5.868E-3</v>
      </c>
      <c r="J47" s="15">
        <f t="shared" si="22"/>
        <v>2.3052000000000002E-5</v>
      </c>
      <c r="K47" s="16">
        <f t="shared" si="0"/>
        <v>254.55491931285786</v>
      </c>
      <c r="L47" s="47"/>
      <c r="M47" s="18">
        <f>L42/I47</f>
        <v>4260.3953646898435</v>
      </c>
      <c r="N47" s="15">
        <f t="shared" si="5"/>
        <v>0.23471999999999998</v>
      </c>
      <c r="O47" s="16">
        <f t="shared" si="6"/>
        <v>1084.5045982994968</v>
      </c>
    </row>
    <row r="48" spans="1:15" x14ac:dyDescent="0.3">
      <c r="A48" s="11">
        <v>3</v>
      </c>
      <c r="B48" s="11">
        <v>-2</v>
      </c>
      <c r="C48" s="12">
        <v>-1.42</v>
      </c>
      <c r="D48" s="12">
        <v>2.3071999999999999</v>
      </c>
      <c r="E48" s="13">
        <f t="shared" si="19"/>
        <v>4.42</v>
      </c>
      <c r="F48" s="14">
        <f t="shared" si="20"/>
        <v>0.69280000000000008</v>
      </c>
      <c r="G48" s="11">
        <v>100</v>
      </c>
      <c r="H48" s="15">
        <v>100000</v>
      </c>
      <c r="I48" s="15">
        <f t="shared" si="21"/>
        <v>5.8000000000000005E-3</v>
      </c>
      <c r="J48" s="15">
        <f t="shared" si="22"/>
        <v>2.3071999999999999E-5</v>
      </c>
      <c r="K48" s="16">
        <f t="shared" si="0"/>
        <v>251.38696255201114</v>
      </c>
      <c r="L48" s="47"/>
      <c r="M48" s="18">
        <f>L42/I48</f>
        <v>4310.3448275862065</v>
      </c>
      <c r="N48" s="15">
        <f t="shared" si="5"/>
        <v>0.23200000000000001</v>
      </c>
      <c r="O48" s="16">
        <f t="shared" si="6"/>
        <v>1083.5644937586687</v>
      </c>
    </row>
    <row r="49" spans="1:15" x14ac:dyDescent="0.3">
      <c r="A49" s="11">
        <v>3</v>
      </c>
      <c r="B49" s="11">
        <v>-1.5</v>
      </c>
      <c r="C49" s="12">
        <v>-0.9264</v>
      </c>
      <c r="D49" s="12">
        <v>2.3048000000000002</v>
      </c>
      <c r="E49" s="13">
        <f t="shared" si="19"/>
        <v>3.9264000000000001</v>
      </c>
      <c r="F49" s="14">
        <f t="shared" si="20"/>
        <v>0.69519999999999982</v>
      </c>
      <c r="G49" s="11">
        <v>100</v>
      </c>
      <c r="H49" s="15">
        <v>100000</v>
      </c>
      <c r="I49" s="15">
        <f t="shared" si="21"/>
        <v>5.7359999999999998E-3</v>
      </c>
      <c r="J49" s="15">
        <f t="shared" si="22"/>
        <v>2.3048E-5</v>
      </c>
      <c r="K49" s="16">
        <f t="shared" si="0"/>
        <v>248.87191947240541</v>
      </c>
      <c r="L49" s="47"/>
      <c r="M49" s="18">
        <f>L42/I49</f>
        <v>4358.4379358437936</v>
      </c>
      <c r="N49" s="15">
        <f t="shared" si="5"/>
        <v>0.22943999999999998</v>
      </c>
      <c r="O49" s="16">
        <f t="shared" si="6"/>
        <v>1084.6928149947935</v>
      </c>
    </row>
    <row r="50" spans="1:15" x14ac:dyDescent="0.3">
      <c r="A50" s="11">
        <v>3</v>
      </c>
      <c r="B50" s="11">
        <v>-1</v>
      </c>
      <c r="C50" s="12">
        <v>-0.45</v>
      </c>
      <c r="D50" s="12">
        <v>2.3043999999999998</v>
      </c>
      <c r="E50" s="13">
        <f t="shared" si="19"/>
        <v>3.45</v>
      </c>
      <c r="F50" s="14">
        <f t="shared" si="20"/>
        <v>0.69560000000000022</v>
      </c>
      <c r="G50" s="11">
        <v>100</v>
      </c>
      <c r="H50" s="15">
        <v>100000</v>
      </c>
      <c r="I50" s="15">
        <f t="shared" si="21"/>
        <v>5.5000000000000005E-3</v>
      </c>
      <c r="J50" s="15">
        <f t="shared" si="22"/>
        <v>2.3043999999999998E-5</v>
      </c>
      <c r="K50" s="16">
        <f t="shared" si="0"/>
        <v>238.67384134698841</v>
      </c>
      <c r="L50" s="47"/>
      <c r="M50" s="18">
        <f>L42/I50</f>
        <v>4545.454545454545</v>
      </c>
      <c r="N50" s="15">
        <f t="shared" si="5"/>
        <v>0.22</v>
      </c>
      <c r="O50" s="16">
        <f t="shared" si="6"/>
        <v>1084.8810970317654</v>
      </c>
    </row>
    <row r="51" spans="1:15" x14ac:dyDescent="0.3">
      <c r="A51" s="11">
        <v>3</v>
      </c>
      <c r="B51" s="11">
        <v>-0.5</v>
      </c>
      <c r="C51" s="12">
        <v>4.2000000000000003E-2</v>
      </c>
      <c r="D51" s="12">
        <v>2.3039999999999998</v>
      </c>
      <c r="E51" s="13">
        <f t="shared" si="19"/>
        <v>2.9580000000000002</v>
      </c>
      <c r="F51" s="14">
        <f t="shared" si="20"/>
        <v>0.69600000000000017</v>
      </c>
      <c r="G51" s="11">
        <v>100</v>
      </c>
      <c r="H51" s="15">
        <v>100000</v>
      </c>
      <c r="I51" s="15">
        <f t="shared" si="21"/>
        <v>5.4200000000000003E-3</v>
      </c>
      <c r="J51" s="15">
        <f t="shared" si="22"/>
        <v>2.304E-5</v>
      </c>
      <c r="K51" s="16">
        <f t="shared" si="0"/>
        <v>235.24305555555557</v>
      </c>
      <c r="L51" s="47"/>
      <c r="M51" s="18">
        <f>L42/I51</f>
        <v>4612.5461254612546</v>
      </c>
      <c r="N51" s="15">
        <f t="shared" si="5"/>
        <v>0.21679999999999999</v>
      </c>
      <c r="O51" s="16">
        <f t="shared" si="6"/>
        <v>1085.0694444444446</v>
      </c>
    </row>
    <row r="52" spans="1:15" x14ac:dyDescent="0.3">
      <c r="A52" s="20">
        <v>2.5</v>
      </c>
      <c r="B52" s="20">
        <v>-5</v>
      </c>
      <c r="C52" s="21">
        <v>-4.5207999999999897</v>
      </c>
      <c r="D52" s="21">
        <v>1.8151999999999999</v>
      </c>
      <c r="E52" s="22">
        <f>A52-C52</f>
        <v>7.0207999999999897</v>
      </c>
      <c r="F52" s="23">
        <f>A52-D52</f>
        <v>0.68480000000000008</v>
      </c>
      <c r="G52" s="20">
        <v>100</v>
      </c>
      <c r="H52" s="24">
        <v>100000</v>
      </c>
      <c r="I52" s="24">
        <f>(C52-B52)/G52</f>
        <v>4.7920000000001026E-3</v>
      </c>
      <c r="J52" s="24">
        <f>(D52-0)/H52</f>
        <v>1.8151999999999998E-5</v>
      </c>
      <c r="K52" s="25">
        <f t="shared" si="0"/>
        <v>263.99294843543981</v>
      </c>
      <c r="L52" s="26">
        <v>38</v>
      </c>
      <c r="M52" s="27">
        <f>L52/I52</f>
        <v>7929.8831385641042</v>
      </c>
      <c r="N52" s="24">
        <f t="shared" si="5"/>
        <v>0.1916800000000041</v>
      </c>
      <c r="O52" s="25">
        <f t="shared" si="6"/>
        <v>1377.2587042750113</v>
      </c>
    </row>
    <row r="53" spans="1:15" x14ac:dyDescent="0.3">
      <c r="A53" s="20">
        <v>2.5</v>
      </c>
      <c r="B53" s="20">
        <v>-4.5</v>
      </c>
      <c r="C53" s="21">
        <v>-4.024</v>
      </c>
      <c r="D53" s="21">
        <v>1.8155999999999901</v>
      </c>
      <c r="E53" s="22">
        <f t="shared" ref="E53:E61" si="23">A53-C53</f>
        <v>6.524</v>
      </c>
      <c r="F53" s="23">
        <f t="shared" ref="F53:F61" si="24">A53-D53</f>
        <v>0.68440000000000989</v>
      </c>
      <c r="G53" s="20">
        <v>100</v>
      </c>
      <c r="H53" s="24">
        <v>100000</v>
      </c>
      <c r="I53" s="24">
        <f t="shared" ref="I53:I61" si="25">(C53-B53)/G53</f>
        <v>4.7599999999999995E-3</v>
      </c>
      <c r="J53" s="24">
        <f t="shared" ref="J53:J61" si="26">(D53-0)/H53</f>
        <v>1.8155999999999902E-5</v>
      </c>
      <c r="K53" s="25">
        <f t="shared" si="0"/>
        <v>262.17228464419617</v>
      </c>
      <c r="L53" s="28"/>
      <c r="M53" s="27">
        <f>L52/I53</f>
        <v>7983.1932773109256</v>
      </c>
      <c r="N53" s="24">
        <f t="shared" si="5"/>
        <v>0.19039999999999996</v>
      </c>
      <c r="O53" s="25">
        <f t="shared" si="6"/>
        <v>1376.955276492627</v>
      </c>
    </row>
    <row r="54" spans="1:15" x14ac:dyDescent="0.3">
      <c r="A54" s="20">
        <v>2.5</v>
      </c>
      <c r="B54" s="20">
        <v>-4</v>
      </c>
      <c r="C54" s="21">
        <v>-3.5255999999999998</v>
      </c>
      <c r="D54" s="21">
        <v>1.8155999999999901</v>
      </c>
      <c r="E54" s="22">
        <f t="shared" si="23"/>
        <v>6.0255999999999998</v>
      </c>
      <c r="F54" s="23">
        <f t="shared" si="24"/>
        <v>0.68440000000000989</v>
      </c>
      <c r="G54" s="20">
        <v>100</v>
      </c>
      <c r="H54" s="24">
        <v>100000</v>
      </c>
      <c r="I54" s="24">
        <f t="shared" si="25"/>
        <v>4.7440000000000017E-3</v>
      </c>
      <c r="J54" s="24">
        <f t="shared" si="26"/>
        <v>1.8155999999999902E-5</v>
      </c>
      <c r="K54" s="25">
        <f t="shared" si="0"/>
        <v>261.291033267241</v>
      </c>
      <c r="L54" s="28"/>
      <c r="M54" s="27">
        <f>L52/I54</f>
        <v>8010.1180438448537</v>
      </c>
      <c r="N54" s="24">
        <f t="shared" si="5"/>
        <v>0.18976000000000007</v>
      </c>
      <c r="O54" s="25">
        <f t="shared" si="6"/>
        <v>1376.955276492627</v>
      </c>
    </row>
    <row r="55" spans="1:15" x14ac:dyDescent="0.3">
      <c r="A55" s="20">
        <v>2.5</v>
      </c>
      <c r="B55" s="20">
        <v>-3.5</v>
      </c>
      <c r="C55" s="21">
        <v>-3.03</v>
      </c>
      <c r="D55" s="21">
        <v>1.8164</v>
      </c>
      <c r="E55" s="22">
        <f t="shared" si="23"/>
        <v>5.5299999999999994</v>
      </c>
      <c r="F55" s="23">
        <f t="shared" si="24"/>
        <v>0.68359999999999999</v>
      </c>
      <c r="G55" s="20">
        <v>100</v>
      </c>
      <c r="H55" s="24">
        <v>100000</v>
      </c>
      <c r="I55" s="24">
        <f t="shared" si="25"/>
        <v>4.7000000000000019E-3</v>
      </c>
      <c r="J55" s="24">
        <f t="shared" si="26"/>
        <v>1.8164000000000001E-5</v>
      </c>
      <c r="K55" s="25">
        <f t="shared" si="0"/>
        <v>258.75357850693689</v>
      </c>
      <c r="L55" s="28"/>
      <c r="M55" s="27">
        <f>L52/I55</f>
        <v>8085.1063829787199</v>
      </c>
      <c r="N55" s="24">
        <f t="shared" si="5"/>
        <v>0.18800000000000006</v>
      </c>
      <c r="O55" s="25">
        <f t="shared" si="6"/>
        <v>1376.3488218454086</v>
      </c>
    </row>
    <row r="56" spans="1:15" x14ac:dyDescent="0.3">
      <c r="A56" s="20">
        <v>2.5</v>
      </c>
      <c r="B56" s="20">
        <v>-3</v>
      </c>
      <c r="C56" s="21">
        <v>-2.5339999999999998</v>
      </c>
      <c r="D56" s="21">
        <v>1.8164</v>
      </c>
      <c r="E56" s="22">
        <f t="shared" si="23"/>
        <v>5.0339999999999998</v>
      </c>
      <c r="F56" s="23">
        <f t="shared" si="24"/>
        <v>0.68359999999999999</v>
      </c>
      <c r="G56" s="20">
        <v>100</v>
      </c>
      <c r="H56" s="24">
        <v>100000</v>
      </c>
      <c r="I56" s="24">
        <f t="shared" si="25"/>
        <v>4.6600000000000018E-3</v>
      </c>
      <c r="J56" s="24">
        <f t="shared" si="26"/>
        <v>1.8164000000000001E-5</v>
      </c>
      <c r="K56" s="25">
        <f t="shared" si="0"/>
        <v>256.55142039198421</v>
      </c>
      <c r="L56" s="28"/>
      <c r="M56" s="27">
        <f>L52/I56</f>
        <v>8154.5064377682374</v>
      </c>
      <c r="N56" s="24">
        <f t="shared" si="5"/>
        <v>0.18640000000000007</v>
      </c>
      <c r="O56" s="25">
        <f t="shared" si="6"/>
        <v>1376.3488218454086</v>
      </c>
    </row>
    <row r="57" spans="1:15" x14ac:dyDescent="0.3">
      <c r="A57" s="20">
        <v>2.5</v>
      </c>
      <c r="B57" s="20">
        <v>-2.5</v>
      </c>
      <c r="C57" s="21">
        <v>-2.0419999999999998</v>
      </c>
      <c r="D57" s="21">
        <v>1.8148</v>
      </c>
      <c r="E57" s="22">
        <f t="shared" si="23"/>
        <v>4.5419999999999998</v>
      </c>
      <c r="F57" s="23">
        <f t="shared" si="24"/>
        <v>0.68520000000000003</v>
      </c>
      <c r="G57" s="20">
        <v>100</v>
      </c>
      <c r="H57" s="24">
        <v>100000</v>
      </c>
      <c r="I57" s="24">
        <f t="shared" si="25"/>
        <v>4.5800000000000016E-3</v>
      </c>
      <c r="J57" s="24">
        <f t="shared" si="26"/>
        <v>1.8148E-5</v>
      </c>
      <c r="K57" s="25">
        <f t="shared" si="0"/>
        <v>252.36940709720088</v>
      </c>
      <c r="L57" s="28"/>
      <c r="M57" s="27">
        <f>L52/I57</f>
        <v>8296.943231441046</v>
      </c>
      <c r="N57" s="24">
        <f t="shared" si="5"/>
        <v>0.18320000000000006</v>
      </c>
      <c r="O57" s="25">
        <f t="shared" si="6"/>
        <v>1377.562265814415</v>
      </c>
    </row>
    <row r="58" spans="1:15" x14ac:dyDescent="0.3">
      <c r="A58" s="20">
        <v>2.5</v>
      </c>
      <c r="B58" s="20">
        <v>-2</v>
      </c>
      <c r="C58" s="21">
        <v>-1.56</v>
      </c>
      <c r="D58" s="21">
        <v>1.8140000000000001</v>
      </c>
      <c r="E58" s="22">
        <f t="shared" si="23"/>
        <v>4.0600000000000005</v>
      </c>
      <c r="F58" s="23">
        <f t="shared" si="24"/>
        <v>0.68599999999999994</v>
      </c>
      <c r="G58" s="20">
        <v>100</v>
      </c>
      <c r="H58" s="24">
        <v>100000</v>
      </c>
      <c r="I58" s="24">
        <f t="shared" si="25"/>
        <v>4.3999999999999994E-3</v>
      </c>
      <c r="J58" s="24">
        <f t="shared" si="26"/>
        <v>1.8139999999999999E-5</v>
      </c>
      <c r="K58" s="25">
        <f t="shared" si="0"/>
        <v>242.55788313120175</v>
      </c>
      <c r="L58" s="28"/>
      <c r="M58" s="27">
        <f>L52/I58</f>
        <v>8636.3636363636379</v>
      </c>
      <c r="N58" s="24">
        <f t="shared" si="5"/>
        <v>0.17599999999999996</v>
      </c>
      <c r="O58" s="25">
        <f t="shared" si="6"/>
        <v>1378.169790518192</v>
      </c>
    </row>
    <row r="59" spans="1:15" x14ac:dyDescent="0.3">
      <c r="A59" s="20">
        <v>2.5</v>
      </c>
      <c r="B59" s="20">
        <v>-1.5</v>
      </c>
      <c r="C59" s="21">
        <v>-1.0680000000000001</v>
      </c>
      <c r="D59" s="21">
        <v>1.8140000000000001</v>
      </c>
      <c r="E59" s="22">
        <f t="shared" si="23"/>
        <v>3.5680000000000001</v>
      </c>
      <c r="F59" s="23">
        <f t="shared" si="24"/>
        <v>0.68599999999999994</v>
      </c>
      <c r="G59" s="20">
        <v>100</v>
      </c>
      <c r="H59" s="24">
        <v>100000</v>
      </c>
      <c r="I59" s="24">
        <f t="shared" si="25"/>
        <v>4.3199999999999992E-3</v>
      </c>
      <c r="J59" s="24">
        <f t="shared" si="26"/>
        <v>1.8139999999999999E-5</v>
      </c>
      <c r="K59" s="25">
        <f t="shared" si="0"/>
        <v>238.14773980154351</v>
      </c>
      <c r="L59" s="28"/>
      <c r="M59" s="27">
        <f>L52/I59</f>
        <v>8796.2962962962974</v>
      </c>
      <c r="N59" s="24">
        <f t="shared" si="5"/>
        <v>0.17279999999999995</v>
      </c>
      <c r="O59" s="25">
        <f t="shared" si="6"/>
        <v>1378.169790518192</v>
      </c>
    </row>
    <row r="60" spans="1:15" x14ac:dyDescent="0.3">
      <c r="A60" s="20">
        <v>2.5</v>
      </c>
      <c r="B60" s="20">
        <v>-1</v>
      </c>
      <c r="C60" s="21">
        <v>-0.57399999999999995</v>
      </c>
      <c r="D60" s="21">
        <v>1.8140000000000001</v>
      </c>
      <c r="E60" s="22">
        <f t="shared" si="23"/>
        <v>3.0739999999999998</v>
      </c>
      <c r="F60" s="23">
        <f t="shared" si="24"/>
        <v>0.68599999999999994</v>
      </c>
      <c r="G60" s="20">
        <v>100</v>
      </c>
      <c r="H60" s="24">
        <v>100000</v>
      </c>
      <c r="I60" s="24">
        <f t="shared" si="25"/>
        <v>4.2600000000000008E-3</v>
      </c>
      <c r="J60" s="24">
        <f t="shared" si="26"/>
        <v>1.8139999999999999E-5</v>
      </c>
      <c r="K60" s="25">
        <f t="shared" si="0"/>
        <v>234.84013230429994</v>
      </c>
      <c r="L60" s="28"/>
      <c r="M60" s="27">
        <f>L52/I60</f>
        <v>8920.1877934272288</v>
      </c>
      <c r="N60" s="24">
        <f t="shared" si="5"/>
        <v>0.17040000000000002</v>
      </c>
      <c r="O60" s="25">
        <f t="shared" si="6"/>
        <v>1378.169790518192</v>
      </c>
    </row>
    <row r="61" spans="1:15" x14ac:dyDescent="0.3">
      <c r="A61" s="20">
        <v>2.5</v>
      </c>
      <c r="B61" s="20">
        <v>-0.5</v>
      </c>
      <c r="C61" s="21">
        <v>-8.2000000000000003E-2</v>
      </c>
      <c r="D61" s="21">
        <v>1.8140000000000001</v>
      </c>
      <c r="E61" s="22">
        <f t="shared" si="23"/>
        <v>2.5819999999999999</v>
      </c>
      <c r="F61" s="23">
        <f t="shared" si="24"/>
        <v>0.68599999999999994</v>
      </c>
      <c r="G61" s="20">
        <v>100</v>
      </c>
      <c r="H61" s="24">
        <v>100000</v>
      </c>
      <c r="I61" s="24">
        <f t="shared" si="25"/>
        <v>4.1799999999999997E-3</v>
      </c>
      <c r="J61" s="24">
        <f t="shared" si="26"/>
        <v>1.8139999999999999E-5</v>
      </c>
      <c r="K61" s="25">
        <f t="shared" si="0"/>
        <v>230.42998897464167</v>
      </c>
      <c r="L61" s="28"/>
      <c r="M61" s="27">
        <f>L52/I61</f>
        <v>9090.9090909090919</v>
      </c>
      <c r="N61" s="24">
        <f t="shared" si="5"/>
        <v>0.16719999999999999</v>
      </c>
      <c r="O61" s="25">
        <f t="shared" si="6"/>
        <v>1378.169790518192</v>
      </c>
    </row>
    <row r="62" spans="1:15" x14ac:dyDescent="0.3">
      <c r="A62" s="29">
        <v>2</v>
      </c>
      <c r="B62" s="29">
        <v>-5</v>
      </c>
      <c r="C62" s="30">
        <v>-4.6547999999999998</v>
      </c>
      <c r="D62" s="30">
        <v>1.3248</v>
      </c>
      <c r="E62" s="31">
        <f>A62-C62</f>
        <v>6.6547999999999998</v>
      </c>
      <c r="F62" s="32">
        <f>A62-D62</f>
        <v>0.67520000000000002</v>
      </c>
      <c r="G62" s="29">
        <v>100</v>
      </c>
      <c r="H62" s="33">
        <v>100000</v>
      </c>
      <c r="I62" s="33">
        <f>(C62-B62)/G62</f>
        <v>3.4520000000000019E-3</v>
      </c>
      <c r="J62" s="33">
        <f>(D62-0)/H62</f>
        <v>1.3247999999999999E-5</v>
      </c>
      <c r="K62" s="34">
        <f t="shared" si="0"/>
        <v>260.56763285024169</v>
      </c>
      <c r="L62" s="35">
        <v>28</v>
      </c>
      <c r="M62" s="36">
        <f>L62/I62</f>
        <v>8111.2398609501688</v>
      </c>
      <c r="N62" s="33">
        <f t="shared" si="5"/>
        <v>0.13808000000000006</v>
      </c>
      <c r="O62" s="34">
        <f t="shared" si="6"/>
        <v>1887.0772946859906</v>
      </c>
    </row>
    <row r="63" spans="1:15" x14ac:dyDescent="0.3">
      <c r="A63" s="29">
        <v>2</v>
      </c>
      <c r="B63" s="29">
        <v>-4.5</v>
      </c>
      <c r="C63" s="30">
        <v>-4.1563999999999997</v>
      </c>
      <c r="D63" s="30">
        <v>1.3264</v>
      </c>
      <c r="E63" s="31">
        <f t="shared" ref="E63:E71" si="27">A63-C63</f>
        <v>6.1563999999999997</v>
      </c>
      <c r="F63" s="32">
        <f t="shared" ref="F63:F71" si="28">A63-D63</f>
        <v>0.67359999999999998</v>
      </c>
      <c r="G63" s="29">
        <v>100</v>
      </c>
      <c r="H63" s="33">
        <v>100000</v>
      </c>
      <c r="I63" s="33">
        <f t="shared" ref="I63:I71" si="29">(C63-B63)/G63</f>
        <v>3.4360000000000033E-3</v>
      </c>
      <c r="J63" s="33">
        <f t="shared" ref="J63:J71" si="30">(D63-0)/H63</f>
        <v>1.3264E-5</v>
      </c>
      <c r="K63" s="34">
        <f t="shared" si="0"/>
        <v>259.04704463208708</v>
      </c>
      <c r="L63" s="37"/>
      <c r="M63" s="36">
        <f>L62/I63</f>
        <v>8149.0104772991772</v>
      </c>
      <c r="N63" s="33">
        <f t="shared" si="5"/>
        <v>0.13744000000000012</v>
      </c>
      <c r="O63" s="34">
        <f t="shared" si="6"/>
        <v>1884.8009650180941</v>
      </c>
    </row>
    <row r="64" spans="1:15" x14ac:dyDescent="0.3">
      <c r="A64" s="29">
        <v>2</v>
      </c>
      <c r="B64" s="29">
        <v>-4</v>
      </c>
      <c r="C64" s="30">
        <v>-3.6596000000000002</v>
      </c>
      <c r="D64" s="30">
        <v>1.3255999999999999</v>
      </c>
      <c r="E64" s="31">
        <f t="shared" si="27"/>
        <v>5.6596000000000002</v>
      </c>
      <c r="F64" s="32">
        <f t="shared" si="28"/>
        <v>0.67440000000000011</v>
      </c>
      <c r="G64" s="29">
        <v>100</v>
      </c>
      <c r="H64" s="33">
        <v>100000</v>
      </c>
      <c r="I64" s="33">
        <f t="shared" si="29"/>
        <v>3.4039999999999982E-3</v>
      </c>
      <c r="J64" s="33">
        <f t="shared" si="30"/>
        <v>1.3255999999999998E-5</v>
      </c>
      <c r="K64" s="34">
        <f t="shared" si="0"/>
        <v>256.78937839468909</v>
      </c>
      <c r="L64" s="37"/>
      <c r="M64" s="36">
        <f>L62/I64</f>
        <v>8225.6169212691002</v>
      </c>
      <c r="N64" s="33">
        <f t="shared" si="5"/>
        <v>0.13615999999999992</v>
      </c>
      <c r="O64" s="34">
        <f t="shared" si="6"/>
        <v>1885.9384429692218</v>
      </c>
    </row>
    <row r="65" spans="1:15" x14ac:dyDescent="0.3">
      <c r="A65" s="29">
        <v>2</v>
      </c>
      <c r="B65" s="29">
        <v>-3.5</v>
      </c>
      <c r="C65" s="30">
        <v>-3.16</v>
      </c>
      <c r="D65" s="30">
        <v>1.3260000000000001</v>
      </c>
      <c r="E65" s="31">
        <f t="shared" si="27"/>
        <v>5.16</v>
      </c>
      <c r="F65" s="32">
        <f t="shared" si="28"/>
        <v>0.67399999999999993</v>
      </c>
      <c r="G65" s="29">
        <v>100</v>
      </c>
      <c r="H65" s="33">
        <v>100000</v>
      </c>
      <c r="I65" s="33">
        <f t="shared" si="29"/>
        <v>3.3999999999999985E-3</v>
      </c>
      <c r="J65" s="33">
        <f t="shared" si="30"/>
        <v>1.326E-5</v>
      </c>
      <c r="K65" s="34">
        <f t="shared" si="0"/>
        <v>256.4102564102563</v>
      </c>
      <c r="L65" s="37"/>
      <c r="M65" s="36">
        <f>L62/I65</f>
        <v>8235.2941176470631</v>
      </c>
      <c r="N65" s="33">
        <f t="shared" si="5"/>
        <v>0.13599999999999993</v>
      </c>
      <c r="O65" s="34">
        <f t="shared" si="6"/>
        <v>1885.369532428356</v>
      </c>
    </row>
    <row r="66" spans="1:15" x14ac:dyDescent="0.3">
      <c r="A66" s="29">
        <v>2</v>
      </c>
      <c r="B66" s="29">
        <v>-3</v>
      </c>
      <c r="C66" s="30">
        <v>-2.6627999999999998</v>
      </c>
      <c r="D66" s="30">
        <v>1.3260000000000001</v>
      </c>
      <c r="E66" s="31">
        <f t="shared" si="27"/>
        <v>4.6627999999999998</v>
      </c>
      <c r="F66" s="32">
        <f t="shared" si="28"/>
        <v>0.67399999999999993</v>
      </c>
      <c r="G66" s="29">
        <v>100</v>
      </c>
      <c r="H66" s="33">
        <v>100000</v>
      </c>
      <c r="I66" s="33">
        <f t="shared" si="29"/>
        <v>3.3720000000000017E-3</v>
      </c>
      <c r="J66" s="33">
        <f t="shared" si="30"/>
        <v>1.326E-5</v>
      </c>
      <c r="K66" s="34">
        <f t="shared" ref="K66:K91" si="31">I66/J66</f>
        <v>254.29864253393677</v>
      </c>
      <c r="L66" s="37"/>
      <c r="M66" s="36">
        <f>L62/I66</f>
        <v>8303.6773428232464</v>
      </c>
      <c r="N66" s="33">
        <f t="shared" si="5"/>
        <v>0.13488000000000006</v>
      </c>
      <c r="O66" s="34">
        <f t="shared" si="6"/>
        <v>1885.369532428356</v>
      </c>
    </row>
    <row r="67" spans="1:15" x14ac:dyDescent="0.3">
      <c r="A67" s="29">
        <v>2</v>
      </c>
      <c r="B67" s="29">
        <v>-2.5</v>
      </c>
      <c r="C67" s="30">
        <v>-2.1768000000000001</v>
      </c>
      <c r="D67" s="30">
        <v>1.3240000000000001</v>
      </c>
      <c r="E67" s="31">
        <f t="shared" si="27"/>
        <v>4.1768000000000001</v>
      </c>
      <c r="F67" s="32">
        <f t="shared" si="28"/>
        <v>0.67599999999999993</v>
      </c>
      <c r="G67" s="29">
        <v>100</v>
      </c>
      <c r="H67" s="33">
        <v>100000</v>
      </c>
      <c r="I67" s="33">
        <f t="shared" si="29"/>
        <v>3.2319999999999992E-3</v>
      </c>
      <c r="J67" s="33">
        <f t="shared" si="30"/>
        <v>1.324E-5</v>
      </c>
      <c r="K67" s="34">
        <f t="shared" si="31"/>
        <v>244.10876132930508</v>
      </c>
      <c r="L67" s="37"/>
      <c r="M67" s="36">
        <f>L62/I67</f>
        <v>8663.3663366336659</v>
      </c>
      <c r="N67" s="33">
        <f t="shared" ref="N67:N91" si="32">I67/0.025</f>
        <v>0.12927999999999995</v>
      </c>
      <c r="O67" s="34">
        <f t="shared" ref="O67:O91" si="33">0.025/J67</f>
        <v>1888.2175226586103</v>
      </c>
    </row>
    <row r="68" spans="1:15" x14ac:dyDescent="0.3">
      <c r="A68" s="29">
        <v>2</v>
      </c>
      <c r="B68" s="29">
        <v>-2</v>
      </c>
      <c r="C68" s="30">
        <v>-1.6839999999999999</v>
      </c>
      <c r="D68" s="30">
        <v>1.3240000000000001</v>
      </c>
      <c r="E68" s="31">
        <f t="shared" si="27"/>
        <v>3.6840000000000002</v>
      </c>
      <c r="F68" s="32">
        <f t="shared" si="28"/>
        <v>0.67599999999999993</v>
      </c>
      <c r="G68" s="29">
        <v>100</v>
      </c>
      <c r="H68" s="33">
        <v>100000</v>
      </c>
      <c r="I68" s="33">
        <f t="shared" si="29"/>
        <v>3.1600000000000005E-3</v>
      </c>
      <c r="J68" s="33">
        <f t="shared" si="30"/>
        <v>1.324E-5</v>
      </c>
      <c r="K68" s="34">
        <f t="shared" si="31"/>
        <v>238.67069486404836</v>
      </c>
      <c r="L68" s="37"/>
      <c r="M68" s="36">
        <f>L62/I68</f>
        <v>8860.7594936708847</v>
      </c>
      <c r="N68" s="33">
        <f t="shared" si="32"/>
        <v>0.12640000000000001</v>
      </c>
      <c r="O68" s="34">
        <f t="shared" si="33"/>
        <v>1888.2175226586103</v>
      </c>
    </row>
    <row r="69" spans="1:15" x14ac:dyDescent="0.3">
      <c r="A69" s="29">
        <v>2</v>
      </c>
      <c r="B69" s="29">
        <v>-1.5</v>
      </c>
      <c r="C69" s="30">
        <v>-1.19</v>
      </c>
      <c r="D69" s="30">
        <v>1.3240000000000001</v>
      </c>
      <c r="E69" s="31">
        <f t="shared" si="27"/>
        <v>3.19</v>
      </c>
      <c r="F69" s="32">
        <f t="shared" si="28"/>
        <v>0.67599999999999993</v>
      </c>
      <c r="G69" s="29">
        <v>100</v>
      </c>
      <c r="H69" s="33">
        <v>100000</v>
      </c>
      <c r="I69" s="33">
        <f t="shared" si="29"/>
        <v>3.1000000000000003E-3</v>
      </c>
      <c r="J69" s="33">
        <f t="shared" si="30"/>
        <v>1.324E-5</v>
      </c>
      <c r="K69" s="34">
        <f t="shared" si="31"/>
        <v>234.13897280966771</v>
      </c>
      <c r="L69" s="37"/>
      <c r="M69" s="36">
        <f>L62/I69</f>
        <v>9032.2580645161288</v>
      </c>
      <c r="N69" s="33">
        <f t="shared" si="32"/>
        <v>0.12400000000000001</v>
      </c>
      <c r="O69" s="34">
        <f t="shared" si="33"/>
        <v>1888.2175226586103</v>
      </c>
    </row>
    <row r="70" spans="1:15" x14ac:dyDescent="0.3">
      <c r="A70" s="29">
        <v>2</v>
      </c>
      <c r="B70" s="29">
        <v>-1</v>
      </c>
      <c r="C70" s="30">
        <v>-0.69399999999999995</v>
      </c>
      <c r="D70" s="30">
        <v>1.3240000000000001</v>
      </c>
      <c r="E70" s="31">
        <f t="shared" si="27"/>
        <v>2.694</v>
      </c>
      <c r="F70" s="32">
        <f t="shared" si="28"/>
        <v>0.67599999999999993</v>
      </c>
      <c r="G70" s="29">
        <v>100</v>
      </c>
      <c r="H70" s="33">
        <v>100000</v>
      </c>
      <c r="I70" s="33">
        <f t="shared" si="29"/>
        <v>3.0600000000000007E-3</v>
      </c>
      <c r="J70" s="33">
        <f t="shared" si="30"/>
        <v>1.324E-5</v>
      </c>
      <c r="K70" s="34">
        <f t="shared" si="31"/>
        <v>231.11782477341393</v>
      </c>
      <c r="L70" s="37"/>
      <c r="M70" s="36">
        <f>L62/I70</f>
        <v>9150.3267973856182</v>
      </c>
      <c r="N70" s="33">
        <f t="shared" si="32"/>
        <v>0.12240000000000002</v>
      </c>
      <c r="O70" s="34">
        <f t="shared" si="33"/>
        <v>1888.2175226586103</v>
      </c>
    </row>
    <row r="71" spans="1:15" x14ac:dyDescent="0.3">
      <c r="A71" s="29">
        <v>2</v>
      </c>
      <c r="B71" s="29">
        <v>-0.5</v>
      </c>
      <c r="C71" s="30">
        <v>-0.19800000000000001</v>
      </c>
      <c r="D71" s="30">
        <v>1.3240000000000001</v>
      </c>
      <c r="E71" s="31">
        <f t="shared" si="27"/>
        <v>2.198</v>
      </c>
      <c r="F71" s="32">
        <f t="shared" si="28"/>
        <v>0.67599999999999993</v>
      </c>
      <c r="G71" s="29">
        <v>100</v>
      </c>
      <c r="H71" s="33">
        <v>100000</v>
      </c>
      <c r="I71" s="33">
        <f t="shared" si="29"/>
        <v>3.0200000000000001E-3</v>
      </c>
      <c r="J71" s="33">
        <f t="shared" si="30"/>
        <v>1.324E-5</v>
      </c>
      <c r="K71" s="34">
        <f t="shared" si="31"/>
        <v>228.09667673716012</v>
      </c>
      <c r="L71" s="37"/>
      <c r="M71" s="36">
        <f>L62/I71</f>
        <v>9271.5231788079473</v>
      </c>
      <c r="N71" s="33">
        <f t="shared" si="32"/>
        <v>0.1208</v>
      </c>
      <c r="O71" s="34">
        <f t="shared" si="33"/>
        <v>1888.2175226586103</v>
      </c>
    </row>
    <row r="72" spans="1:15" x14ac:dyDescent="0.3">
      <c r="A72" s="38">
        <v>1.5</v>
      </c>
      <c r="B72" s="38">
        <v>-5</v>
      </c>
      <c r="C72" s="39">
        <v>-4.7839999999999998</v>
      </c>
      <c r="D72" s="39">
        <v>0.84199999999999997</v>
      </c>
      <c r="E72" s="40">
        <f>A72-C72</f>
        <v>6.2839999999999998</v>
      </c>
      <c r="F72" s="41">
        <f>A72-D72</f>
        <v>0.65800000000000003</v>
      </c>
      <c r="G72" s="38">
        <v>100</v>
      </c>
      <c r="H72" s="42">
        <v>100000</v>
      </c>
      <c r="I72" s="42">
        <f>(C72-B72)/G72</f>
        <v>2.1600000000000018E-3</v>
      </c>
      <c r="J72" s="42">
        <f>(D72-0)/H72</f>
        <v>8.419999999999999E-6</v>
      </c>
      <c r="K72" s="43">
        <f t="shared" si="31"/>
        <v>256.53206650831379</v>
      </c>
      <c r="L72" s="44">
        <v>26</v>
      </c>
      <c r="M72" s="45">
        <f>L72/I72</f>
        <v>12037.037037037027</v>
      </c>
      <c r="N72" s="42">
        <f t="shared" si="32"/>
        <v>8.640000000000006E-2</v>
      </c>
      <c r="O72" s="43">
        <f t="shared" si="33"/>
        <v>2969.1211401425185</v>
      </c>
    </row>
    <row r="73" spans="1:15" x14ac:dyDescent="0.3">
      <c r="A73" s="38">
        <v>1.5</v>
      </c>
      <c r="B73" s="38">
        <v>-4.5</v>
      </c>
      <c r="C73" s="39">
        <v>-4.2843999999999998</v>
      </c>
      <c r="D73" s="39">
        <v>0.84199999999999997</v>
      </c>
      <c r="E73" s="40">
        <f t="shared" ref="E73:E81" si="34">A73-C73</f>
        <v>5.7843999999999998</v>
      </c>
      <c r="F73" s="41">
        <f t="shared" ref="F73:F81" si="35">A73-D73</f>
        <v>0.65800000000000003</v>
      </c>
      <c r="G73" s="38">
        <v>100</v>
      </c>
      <c r="H73" s="42">
        <v>100000</v>
      </c>
      <c r="I73" s="42">
        <f t="shared" ref="I73:I81" si="36">(C73-B73)/G73</f>
        <v>2.1560000000000025E-3</v>
      </c>
      <c r="J73" s="42">
        <f t="shared" ref="J73:J81" si="37">(D73-0)/H73</f>
        <v>8.419999999999999E-6</v>
      </c>
      <c r="K73" s="43">
        <f t="shared" si="31"/>
        <v>256.05700712589106</v>
      </c>
      <c r="L73" s="46"/>
      <c r="M73" s="45">
        <f>L72/I73</f>
        <v>12059.369202226331</v>
      </c>
      <c r="N73" s="42">
        <f t="shared" si="32"/>
        <v>8.6240000000000094E-2</v>
      </c>
      <c r="O73" s="43">
        <f t="shared" si="33"/>
        <v>2969.1211401425185</v>
      </c>
    </row>
    <row r="74" spans="1:15" x14ac:dyDescent="0.3">
      <c r="A74" s="38">
        <v>1.5</v>
      </c>
      <c r="B74" s="38">
        <v>-4</v>
      </c>
      <c r="C74" s="39">
        <v>-3.782</v>
      </c>
      <c r="D74" s="39">
        <v>0.84199999999999997</v>
      </c>
      <c r="E74" s="40">
        <f t="shared" si="34"/>
        <v>5.282</v>
      </c>
      <c r="F74" s="41">
        <f t="shared" si="35"/>
        <v>0.65800000000000003</v>
      </c>
      <c r="G74" s="38">
        <v>100</v>
      </c>
      <c r="H74" s="42">
        <v>100000</v>
      </c>
      <c r="I74" s="42">
        <f t="shared" si="36"/>
        <v>2.1799999999999996E-3</v>
      </c>
      <c r="J74" s="42">
        <f t="shared" si="37"/>
        <v>8.419999999999999E-6</v>
      </c>
      <c r="K74" s="43">
        <f t="shared" si="31"/>
        <v>258.90736342042754</v>
      </c>
      <c r="L74" s="46"/>
      <c r="M74" s="45">
        <f>L72/I74</f>
        <v>11926.605504587158</v>
      </c>
      <c r="N74" s="42">
        <f t="shared" si="32"/>
        <v>8.7199999999999986E-2</v>
      </c>
      <c r="O74" s="43">
        <f t="shared" si="33"/>
        <v>2969.1211401425185</v>
      </c>
    </row>
    <row r="75" spans="1:15" x14ac:dyDescent="0.3">
      <c r="A75" s="38">
        <v>1.5</v>
      </c>
      <c r="B75" s="38">
        <v>-3.5</v>
      </c>
      <c r="C75" s="39">
        <v>-3.282</v>
      </c>
      <c r="D75" s="39">
        <v>0.84199999999999997</v>
      </c>
      <c r="E75" s="40">
        <f t="shared" si="34"/>
        <v>4.782</v>
      </c>
      <c r="F75" s="41">
        <f t="shared" si="35"/>
        <v>0.65800000000000003</v>
      </c>
      <c r="G75" s="38">
        <v>100</v>
      </c>
      <c r="H75" s="42">
        <v>100000</v>
      </c>
      <c r="I75" s="42">
        <f t="shared" si="36"/>
        <v>2.1799999999999996E-3</v>
      </c>
      <c r="J75" s="42">
        <f t="shared" si="37"/>
        <v>8.419999999999999E-6</v>
      </c>
      <c r="K75" s="43">
        <f t="shared" si="31"/>
        <v>258.90736342042754</v>
      </c>
      <c r="L75" s="46"/>
      <c r="M75" s="45">
        <f>L72/I75</f>
        <v>11926.605504587158</v>
      </c>
      <c r="N75" s="42">
        <f t="shared" si="32"/>
        <v>8.7199999999999986E-2</v>
      </c>
      <c r="O75" s="43">
        <f t="shared" si="33"/>
        <v>2969.1211401425185</v>
      </c>
    </row>
    <row r="76" spans="1:15" x14ac:dyDescent="0.3">
      <c r="A76" s="38">
        <v>1.5</v>
      </c>
      <c r="B76" s="38">
        <v>-3</v>
      </c>
      <c r="C76" s="39">
        <v>-2.7959999999999998</v>
      </c>
      <c r="D76" s="39">
        <v>0.84199999999999997</v>
      </c>
      <c r="E76" s="40">
        <f t="shared" si="34"/>
        <v>4.2959999999999994</v>
      </c>
      <c r="F76" s="41">
        <f t="shared" si="35"/>
        <v>0.65800000000000003</v>
      </c>
      <c r="G76" s="38">
        <v>100</v>
      </c>
      <c r="H76" s="42">
        <v>100000</v>
      </c>
      <c r="I76" s="42">
        <f t="shared" si="36"/>
        <v>2.0400000000000019E-3</v>
      </c>
      <c r="J76" s="42">
        <f t="shared" si="37"/>
        <v>8.419999999999999E-6</v>
      </c>
      <c r="K76" s="43">
        <f t="shared" si="31"/>
        <v>242.2802850356297</v>
      </c>
      <c r="L76" s="46"/>
      <c r="M76" s="45">
        <f>L72/I76</f>
        <v>12745.098039215674</v>
      </c>
      <c r="N76" s="42">
        <f t="shared" si="32"/>
        <v>8.1600000000000075E-2</v>
      </c>
      <c r="O76" s="43">
        <f t="shared" si="33"/>
        <v>2969.1211401425185</v>
      </c>
    </row>
    <row r="77" spans="1:15" x14ac:dyDescent="0.3">
      <c r="A77" s="38">
        <v>1.5</v>
      </c>
      <c r="B77" s="38">
        <v>-2.5</v>
      </c>
      <c r="C77" s="39">
        <v>-2.2999999999999998</v>
      </c>
      <c r="D77" s="39">
        <v>0.84199999999999997</v>
      </c>
      <c r="E77" s="40">
        <f t="shared" si="34"/>
        <v>3.8</v>
      </c>
      <c r="F77" s="41">
        <f t="shared" si="35"/>
        <v>0.65800000000000003</v>
      </c>
      <c r="G77" s="38">
        <v>100</v>
      </c>
      <c r="H77" s="42">
        <v>100000</v>
      </c>
      <c r="I77" s="42">
        <f t="shared" si="36"/>
        <v>2.0000000000000018E-3</v>
      </c>
      <c r="J77" s="42">
        <f t="shared" si="37"/>
        <v>8.419999999999999E-6</v>
      </c>
      <c r="K77" s="43">
        <f t="shared" si="31"/>
        <v>237.52969121140165</v>
      </c>
      <c r="L77" s="46"/>
      <c r="M77" s="45">
        <f>L72/I77</f>
        <v>12999.999999999989</v>
      </c>
      <c r="N77" s="42">
        <f t="shared" si="32"/>
        <v>8.0000000000000071E-2</v>
      </c>
      <c r="O77" s="43">
        <f t="shared" si="33"/>
        <v>2969.1211401425185</v>
      </c>
    </row>
    <row r="78" spans="1:15" x14ac:dyDescent="0.3">
      <c r="A78" s="38">
        <v>1.5</v>
      </c>
      <c r="B78" s="38">
        <v>-2</v>
      </c>
      <c r="C78" s="39">
        <v>-1.802</v>
      </c>
      <c r="D78" s="39">
        <v>0.84199999999999997</v>
      </c>
      <c r="E78" s="40">
        <f t="shared" si="34"/>
        <v>3.302</v>
      </c>
      <c r="F78" s="41">
        <f t="shared" si="35"/>
        <v>0.65800000000000003</v>
      </c>
      <c r="G78" s="38">
        <v>100</v>
      </c>
      <c r="H78" s="42">
        <v>100000</v>
      </c>
      <c r="I78" s="42">
        <f t="shared" si="36"/>
        <v>1.9799999999999996E-3</v>
      </c>
      <c r="J78" s="42">
        <f t="shared" si="37"/>
        <v>8.419999999999999E-6</v>
      </c>
      <c r="K78" s="43">
        <f t="shared" si="31"/>
        <v>235.15439429928739</v>
      </c>
      <c r="L78" s="46"/>
      <c r="M78" s="45">
        <f>L72/I78</f>
        <v>13131.313131313134</v>
      </c>
      <c r="N78" s="42">
        <f t="shared" si="32"/>
        <v>7.9199999999999979E-2</v>
      </c>
      <c r="O78" s="43">
        <f t="shared" si="33"/>
        <v>2969.1211401425185</v>
      </c>
    </row>
    <row r="79" spans="1:15" x14ac:dyDescent="0.3">
      <c r="A79" s="38">
        <v>1.5</v>
      </c>
      <c r="B79" s="38">
        <v>-1.5</v>
      </c>
      <c r="C79" s="39">
        <v>-1.306</v>
      </c>
      <c r="D79" s="39">
        <v>0.84199999999999997</v>
      </c>
      <c r="E79" s="40">
        <f t="shared" si="34"/>
        <v>2.806</v>
      </c>
      <c r="F79" s="41">
        <f t="shared" si="35"/>
        <v>0.65800000000000003</v>
      </c>
      <c r="G79" s="38">
        <v>100</v>
      </c>
      <c r="H79" s="42">
        <v>100000</v>
      </c>
      <c r="I79" s="42">
        <f t="shared" si="36"/>
        <v>1.9399999999999995E-3</v>
      </c>
      <c r="J79" s="42">
        <f t="shared" si="37"/>
        <v>8.419999999999999E-6</v>
      </c>
      <c r="K79" s="43">
        <f t="shared" si="31"/>
        <v>230.40380047505934</v>
      </c>
      <c r="L79" s="46"/>
      <c r="M79" s="45">
        <f>L72/I79</f>
        <v>13402.061855670107</v>
      </c>
      <c r="N79" s="42">
        <f t="shared" si="32"/>
        <v>7.7599999999999975E-2</v>
      </c>
      <c r="O79" s="43">
        <f t="shared" si="33"/>
        <v>2969.1211401425185</v>
      </c>
    </row>
    <row r="80" spans="1:15" x14ac:dyDescent="0.3">
      <c r="A80" s="38">
        <v>1.5</v>
      </c>
      <c r="B80" s="38">
        <v>-1</v>
      </c>
      <c r="C80" s="39">
        <v>-0.80800000000000005</v>
      </c>
      <c r="D80" s="39">
        <v>0.84199999999999997</v>
      </c>
      <c r="E80" s="40">
        <f t="shared" si="34"/>
        <v>2.3079999999999998</v>
      </c>
      <c r="F80" s="41">
        <f t="shared" si="35"/>
        <v>0.65800000000000003</v>
      </c>
      <c r="G80" s="38">
        <v>100</v>
      </c>
      <c r="H80" s="42">
        <v>100000</v>
      </c>
      <c r="I80" s="42">
        <f t="shared" si="36"/>
        <v>1.9199999999999994E-3</v>
      </c>
      <c r="J80" s="42">
        <f t="shared" si="37"/>
        <v>8.419999999999999E-6</v>
      </c>
      <c r="K80" s="43">
        <f t="shared" si="31"/>
        <v>228.02850356294533</v>
      </c>
      <c r="L80" s="46"/>
      <c r="M80" s="45">
        <f>L72/I80</f>
        <v>13541.666666666672</v>
      </c>
      <c r="N80" s="42">
        <f t="shared" si="32"/>
        <v>7.6799999999999966E-2</v>
      </c>
      <c r="O80" s="43">
        <f t="shared" si="33"/>
        <v>2969.1211401425185</v>
      </c>
    </row>
    <row r="81" spans="1:15" x14ac:dyDescent="0.3">
      <c r="A81" s="38">
        <v>1.5</v>
      </c>
      <c r="B81" s="38">
        <v>-0.5</v>
      </c>
      <c r="C81" s="39">
        <v>-0.308</v>
      </c>
      <c r="D81" s="39">
        <v>0.84199999999999997</v>
      </c>
      <c r="E81" s="40">
        <f t="shared" si="34"/>
        <v>1.8080000000000001</v>
      </c>
      <c r="F81" s="41">
        <f t="shared" si="35"/>
        <v>0.65800000000000003</v>
      </c>
      <c r="G81" s="38">
        <v>100</v>
      </c>
      <c r="H81" s="42">
        <v>100000</v>
      </c>
      <c r="I81" s="42">
        <f t="shared" si="36"/>
        <v>1.92E-3</v>
      </c>
      <c r="J81" s="42">
        <f t="shared" si="37"/>
        <v>8.419999999999999E-6</v>
      </c>
      <c r="K81" s="43">
        <f t="shared" si="31"/>
        <v>228.02850356294539</v>
      </c>
      <c r="L81" s="46"/>
      <c r="M81" s="45">
        <f>L72/I81</f>
        <v>13541.666666666666</v>
      </c>
      <c r="N81" s="42">
        <f t="shared" si="32"/>
        <v>7.6799999999999993E-2</v>
      </c>
      <c r="O81" s="43">
        <f t="shared" si="33"/>
        <v>2969.1211401425185</v>
      </c>
    </row>
    <row r="82" spans="1:15" x14ac:dyDescent="0.3">
      <c r="A82" s="11">
        <v>1</v>
      </c>
      <c r="B82" s="11">
        <v>-5</v>
      </c>
      <c r="C82" s="12">
        <v>-4.9032</v>
      </c>
      <c r="D82" s="12">
        <v>0.36599999999999999</v>
      </c>
      <c r="E82" s="13">
        <f>A82-C82</f>
        <v>5.9032</v>
      </c>
      <c r="F82" s="14">
        <f>A82-D82</f>
        <v>0.63400000000000001</v>
      </c>
      <c r="G82" s="11">
        <v>100</v>
      </c>
      <c r="H82" s="15">
        <v>100000</v>
      </c>
      <c r="I82" s="15">
        <f>(C82-B82)/G82</f>
        <v>9.68E-4</v>
      </c>
      <c r="J82" s="15">
        <f>(D82-0)/H82</f>
        <v>3.6600000000000001E-6</v>
      </c>
      <c r="K82" s="16">
        <f t="shared" si="31"/>
        <v>264.48087431693989</v>
      </c>
      <c r="L82" s="17">
        <v>17</v>
      </c>
      <c r="M82" s="18">
        <f>L82/I82</f>
        <v>17561.983471074382</v>
      </c>
      <c r="N82" s="15">
        <f t="shared" si="32"/>
        <v>3.8719999999999997E-2</v>
      </c>
      <c r="O82" s="16">
        <f t="shared" si="33"/>
        <v>6830.601092896175</v>
      </c>
    </row>
    <row r="83" spans="1:15" x14ac:dyDescent="0.3">
      <c r="A83" s="11">
        <v>1</v>
      </c>
      <c r="B83" s="11">
        <v>-4.5</v>
      </c>
      <c r="C83" s="12">
        <v>-4.4020000000000001</v>
      </c>
      <c r="D83" s="12">
        <v>0.36599999999999999</v>
      </c>
      <c r="E83" s="13">
        <f t="shared" ref="E83:E91" si="38">A83-C83</f>
        <v>5.4020000000000001</v>
      </c>
      <c r="F83" s="14">
        <f t="shared" ref="F83:F91" si="39">A83-D83</f>
        <v>0.63400000000000001</v>
      </c>
      <c r="G83" s="11">
        <v>100</v>
      </c>
      <c r="H83" s="15">
        <v>100000</v>
      </c>
      <c r="I83" s="15">
        <f t="shared" ref="I83:I91" si="40">(C83-B83)/G83</f>
        <v>9.7999999999999867E-4</v>
      </c>
      <c r="J83" s="15">
        <f t="shared" ref="J83:J91" si="41">(D83-0)/H83</f>
        <v>3.6600000000000001E-6</v>
      </c>
      <c r="K83" s="16">
        <f t="shared" si="31"/>
        <v>267.75956284152966</v>
      </c>
      <c r="L83" s="47"/>
      <c r="M83" s="18">
        <f>L82/I83</f>
        <v>17346.938775510229</v>
      </c>
      <c r="N83" s="15">
        <f t="shared" si="32"/>
        <v>3.9199999999999943E-2</v>
      </c>
      <c r="O83" s="16">
        <f t="shared" si="33"/>
        <v>6830.601092896175</v>
      </c>
    </row>
    <row r="84" spans="1:15" x14ac:dyDescent="0.3">
      <c r="A84" s="11">
        <v>1</v>
      </c>
      <c r="B84" s="11">
        <v>-4</v>
      </c>
      <c r="C84" s="12">
        <v>-3.8980000000000001</v>
      </c>
      <c r="D84" s="12">
        <v>0.36599999999999999</v>
      </c>
      <c r="E84" s="13"/>
      <c r="F84" s="14">
        <f t="shared" si="39"/>
        <v>0.63400000000000001</v>
      </c>
      <c r="G84" s="11">
        <v>100</v>
      </c>
      <c r="H84" s="15">
        <v>100000</v>
      </c>
      <c r="I84" s="15">
        <f t="shared" si="40"/>
        <v>1.0199999999999988E-3</v>
      </c>
      <c r="J84" s="15">
        <f t="shared" si="41"/>
        <v>3.6600000000000001E-6</v>
      </c>
      <c r="K84" s="16">
        <f t="shared" si="31"/>
        <v>278.68852459016358</v>
      </c>
      <c r="L84" s="47"/>
      <c r="M84" s="18">
        <f>L82/I84</f>
        <v>16666.666666666686</v>
      </c>
      <c r="N84" s="15">
        <f t="shared" si="32"/>
        <v>4.0799999999999947E-2</v>
      </c>
      <c r="O84" s="16">
        <f t="shared" si="33"/>
        <v>6830.601092896175</v>
      </c>
    </row>
    <row r="85" spans="1:15" x14ac:dyDescent="0.3">
      <c r="A85" s="11">
        <v>1</v>
      </c>
      <c r="B85" s="11">
        <v>-3.5</v>
      </c>
      <c r="C85" s="12">
        <v>-3.4</v>
      </c>
      <c r="D85" s="12">
        <v>0.36599999999999999</v>
      </c>
      <c r="E85" s="13"/>
      <c r="F85" s="14">
        <f t="shared" si="39"/>
        <v>0.63400000000000001</v>
      </c>
      <c r="G85" s="11">
        <v>100</v>
      </c>
      <c r="H85" s="15">
        <v>100000</v>
      </c>
      <c r="I85" s="15">
        <f t="shared" si="40"/>
        <v>1.0000000000000009E-3</v>
      </c>
      <c r="J85" s="15">
        <f t="shared" si="41"/>
        <v>3.6600000000000001E-6</v>
      </c>
      <c r="K85" s="16">
        <f t="shared" si="31"/>
        <v>273.22404371584724</v>
      </c>
      <c r="L85" s="47"/>
      <c r="M85" s="18">
        <f>L82/I85</f>
        <v>16999.999999999985</v>
      </c>
      <c r="N85" s="15">
        <f t="shared" si="32"/>
        <v>4.0000000000000036E-2</v>
      </c>
      <c r="O85" s="16">
        <f t="shared" si="33"/>
        <v>6830.601092896175</v>
      </c>
    </row>
    <row r="86" spans="1:15" x14ac:dyDescent="0.3">
      <c r="A86" s="11">
        <v>1</v>
      </c>
      <c r="B86" s="11">
        <v>-3</v>
      </c>
      <c r="C86" s="12">
        <v>-2.9123999999999901</v>
      </c>
      <c r="D86" s="12">
        <v>0.36599999999999999</v>
      </c>
      <c r="E86" s="13"/>
      <c r="F86" s="14">
        <f t="shared" si="39"/>
        <v>0.63400000000000001</v>
      </c>
      <c r="G86" s="11">
        <v>100</v>
      </c>
      <c r="H86" s="15">
        <v>100000</v>
      </c>
      <c r="I86" s="15">
        <f t="shared" si="40"/>
        <v>8.7600000000009892E-4</v>
      </c>
      <c r="J86" s="15">
        <f t="shared" si="41"/>
        <v>3.6600000000000001E-6</v>
      </c>
      <c r="K86" s="16">
        <f t="shared" si="31"/>
        <v>239.34426229510899</v>
      </c>
      <c r="L86" s="47"/>
      <c r="M86" s="18">
        <f>L82/I86</f>
        <v>19406.392694061735</v>
      </c>
      <c r="N86" s="15">
        <f t="shared" si="32"/>
        <v>3.5040000000003957E-2</v>
      </c>
      <c r="O86" s="16">
        <f t="shared" si="33"/>
        <v>6830.601092896175</v>
      </c>
    </row>
    <row r="87" spans="1:15" x14ac:dyDescent="0.3">
      <c r="A87" s="11">
        <v>1</v>
      </c>
      <c r="B87" s="11">
        <v>-2.5</v>
      </c>
      <c r="C87" s="12">
        <v>-2.4140000000000001</v>
      </c>
      <c r="D87" s="12">
        <v>0.36599999999999999</v>
      </c>
      <c r="E87" s="13"/>
      <c r="F87" s="14">
        <f t="shared" si="39"/>
        <v>0.63400000000000001</v>
      </c>
      <c r="G87" s="11">
        <v>100</v>
      </c>
      <c r="H87" s="15">
        <v>100000</v>
      </c>
      <c r="I87" s="15">
        <f t="shared" si="40"/>
        <v>8.5999999999999857E-4</v>
      </c>
      <c r="J87" s="15">
        <f t="shared" si="41"/>
        <v>3.6600000000000001E-6</v>
      </c>
      <c r="K87" s="16">
        <f t="shared" si="31"/>
        <v>234.97267759562803</v>
      </c>
      <c r="L87" s="47"/>
      <c r="M87" s="18">
        <f>L82/I87</f>
        <v>19767.441860465151</v>
      </c>
      <c r="N87" s="15">
        <f t="shared" si="32"/>
        <v>3.4399999999999938E-2</v>
      </c>
      <c r="O87" s="16">
        <f t="shared" si="33"/>
        <v>6830.601092896175</v>
      </c>
    </row>
    <row r="88" spans="1:15" x14ac:dyDescent="0.3">
      <c r="A88" s="11">
        <v>1</v>
      </c>
      <c r="B88" s="11">
        <v>-2</v>
      </c>
      <c r="C88" s="12">
        <v>-1.9139999999999999</v>
      </c>
      <c r="D88" s="12">
        <v>0.36599999999999999</v>
      </c>
      <c r="E88" s="13"/>
      <c r="F88" s="14">
        <f t="shared" si="39"/>
        <v>0.63400000000000001</v>
      </c>
      <c r="G88" s="11">
        <v>100</v>
      </c>
      <c r="H88" s="15">
        <v>100000</v>
      </c>
      <c r="I88" s="15">
        <f t="shared" si="40"/>
        <v>8.6000000000000074E-4</v>
      </c>
      <c r="J88" s="15">
        <f t="shared" si="41"/>
        <v>3.6600000000000001E-6</v>
      </c>
      <c r="K88" s="16">
        <f t="shared" si="31"/>
        <v>234.9726775956286</v>
      </c>
      <c r="L88" s="47"/>
      <c r="M88" s="18">
        <f>L82/I88</f>
        <v>19767.4418604651</v>
      </c>
      <c r="N88" s="15">
        <f t="shared" si="32"/>
        <v>3.4400000000000028E-2</v>
      </c>
      <c r="O88" s="16">
        <f t="shared" si="33"/>
        <v>6830.601092896175</v>
      </c>
    </row>
    <row r="89" spans="1:15" x14ac:dyDescent="0.3">
      <c r="A89" s="11">
        <v>1</v>
      </c>
      <c r="B89" s="11">
        <v>-1.5</v>
      </c>
      <c r="C89" s="12">
        <v>-1.4127999999999901</v>
      </c>
      <c r="D89" s="12">
        <v>0.36599999999999999</v>
      </c>
      <c r="E89" s="13">
        <f t="shared" si="38"/>
        <v>2.4127999999999901</v>
      </c>
      <c r="F89" s="14">
        <f t="shared" si="39"/>
        <v>0.63400000000000001</v>
      </c>
      <c r="G89" s="11">
        <v>100</v>
      </c>
      <c r="H89" s="15">
        <v>100000</v>
      </c>
      <c r="I89" s="15">
        <f t="shared" si="40"/>
        <v>8.7200000000009937E-4</v>
      </c>
      <c r="J89" s="15">
        <f t="shared" si="41"/>
        <v>3.6600000000000001E-6</v>
      </c>
      <c r="K89" s="16">
        <f t="shared" si="31"/>
        <v>238.25136612024573</v>
      </c>
      <c r="L89" s="47"/>
      <c r="M89" s="18">
        <f>L82/I89</f>
        <v>19495.412844034476</v>
      </c>
      <c r="N89" s="15">
        <f t="shared" si="32"/>
        <v>3.488000000000397E-2</v>
      </c>
      <c r="O89" s="16">
        <f t="shared" si="33"/>
        <v>6830.601092896175</v>
      </c>
    </row>
    <row r="90" spans="1:15" x14ac:dyDescent="0.3">
      <c r="A90" s="11">
        <v>1</v>
      </c>
      <c r="B90" s="11">
        <v>-1</v>
      </c>
      <c r="C90" s="12">
        <v>-0.91279999999999994</v>
      </c>
      <c r="D90" s="12">
        <v>0.36599999999999999</v>
      </c>
      <c r="E90" s="13">
        <f t="shared" si="38"/>
        <v>1.9127999999999998</v>
      </c>
      <c r="F90" s="14">
        <f t="shared" si="39"/>
        <v>0.63400000000000001</v>
      </c>
      <c r="G90" s="11">
        <v>100</v>
      </c>
      <c r="H90" s="15">
        <v>100000</v>
      </c>
      <c r="I90" s="15">
        <f t="shared" si="40"/>
        <v>8.720000000000006E-4</v>
      </c>
      <c r="J90" s="15">
        <f t="shared" si="41"/>
        <v>3.6600000000000001E-6</v>
      </c>
      <c r="K90" s="16">
        <f t="shared" si="31"/>
        <v>238.25136612021873</v>
      </c>
      <c r="L90" s="47"/>
      <c r="M90" s="18">
        <f>L82/I90</f>
        <v>19495.412844036684</v>
      </c>
      <c r="N90" s="15">
        <f t="shared" si="32"/>
        <v>3.4880000000000022E-2</v>
      </c>
      <c r="O90" s="16">
        <f t="shared" si="33"/>
        <v>6830.601092896175</v>
      </c>
    </row>
    <row r="91" spans="1:15" x14ac:dyDescent="0.3">
      <c r="A91" s="11">
        <v>1</v>
      </c>
      <c r="B91" s="11">
        <v>-0.5</v>
      </c>
      <c r="C91" s="12">
        <v>-0.41439999999999999</v>
      </c>
      <c r="D91" s="12">
        <v>0.36599999999999999</v>
      </c>
      <c r="E91" s="13">
        <f t="shared" si="38"/>
        <v>1.4144000000000001</v>
      </c>
      <c r="F91" s="14">
        <f t="shared" si="39"/>
        <v>0.63400000000000001</v>
      </c>
      <c r="G91" s="11">
        <v>100</v>
      </c>
      <c r="H91" s="15">
        <v>100000</v>
      </c>
      <c r="I91" s="15">
        <f t="shared" si="40"/>
        <v>8.560000000000001E-4</v>
      </c>
      <c r="J91" s="15">
        <f t="shared" si="41"/>
        <v>3.6600000000000001E-6</v>
      </c>
      <c r="K91" s="16">
        <f t="shared" si="31"/>
        <v>233.87978142076506</v>
      </c>
      <c r="L91" s="47"/>
      <c r="M91" s="18">
        <f>L82/I91</f>
        <v>19859.813084112146</v>
      </c>
      <c r="N91" s="15">
        <f t="shared" si="32"/>
        <v>3.424E-2</v>
      </c>
      <c r="O91" s="16">
        <f t="shared" si="33"/>
        <v>6830.601092896175</v>
      </c>
    </row>
  </sheetData>
  <mergeCells count="9">
    <mergeCell ref="L62:L71"/>
    <mergeCell ref="L72:L81"/>
    <mergeCell ref="L82:L91"/>
    <mergeCell ref="L22:L31"/>
    <mergeCell ref="L2:L11"/>
    <mergeCell ref="L12:L21"/>
    <mergeCell ref="L32:L41"/>
    <mergeCell ref="L42:L51"/>
    <mergeCell ref="L52:L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Steps 1.2-1.4</vt:lpstr>
      <vt:lpstr>Step 1.8</vt:lpstr>
      <vt:lpstr>Steps 2.2-2.4</vt:lpstr>
      <vt:lpstr>Step 2.8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Chih-Hung (James) Chen</dc:creator>
  <cp:lastModifiedBy>Clara Dawang</cp:lastModifiedBy>
  <dcterms:created xsi:type="dcterms:W3CDTF">2020-07-06T04:29:19Z</dcterms:created>
  <dcterms:modified xsi:type="dcterms:W3CDTF">2024-09-23T02:13:50Z</dcterms:modified>
</cp:coreProperties>
</file>